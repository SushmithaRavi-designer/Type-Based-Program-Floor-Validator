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Zone Area Matrix" sheetId="1" state="visible" r:id="rId3"/>
    <sheet name="Threshold Matrix" sheetId="2" state="visible" r:id="rId4"/>
    <sheet name="Floor Breakdown" sheetId="3" state="visible" r:id="rId5"/>
    <sheet name="Floor Area Estimato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<sst xmlns="http://schemas.openxmlformats.org/spreadsheetml/2006/main" count="153" uniqueCount="123">
  <si>
    <t xml:space="preserve">ZONE AREA DISTRIBUTION MATRIX</t>
  </si>
  <si>
    <t xml:space="preserve">Core Deduction: 15%  |  Structural Deduction: 15%  |  Net Usable = 70% of Gross</t>
  </si>
  <si>
    <t xml:space="preserve">ASSUMPTIONS</t>
  </si>
  <si>
    <t xml:space="preserve">Core %</t>
  </si>
  <si>
    <t xml:space="preserve">Structural %</t>
  </si>
  <si>
    <t xml:space="preserve">Net Usable %</t>
  </si>
  <si>
    <t xml:space="preserve">ZONE</t>
  </si>
  <si>
    <t xml:space="preserve">GROSS AREA
(m²)</t>
  </si>
  <si>
    <t xml:space="preserve">CORE AREA
(m²)</t>
  </si>
  <si>
    <t xml:space="preserve">STRUCTURAL
AREA (m²)</t>
  </si>
  <si>
    <t xml:space="preserve">TOTAL
DEDUCTION (m²)</t>
  </si>
  <si>
    <t xml:space="preserve">NET USABLE
AREA (m²)</t>
  </si>
  <si>
    <t xml:space="preserve">CORE %</t>
  </si>
  <si>
    <t xml:space="preserve">STRUCTURAL %</t>
  </si>
  <si>
    <t xml:space="preserve">NET %</t>
  </si>
  <si>
    <t xml:space="preserve">MEDICAL</t>
  </si>
  <si>
    <t xml:space="preserve">HOTEL</t>
  </si>
  <si>
    <t xml:space="preserve">TRANSPORTATION HQ</t>
  </si>
  <si>
    <t xml:space="preserve">CORPORATE OFFICE</t>
  </si>
  <si>
    <t xml:space="preserve">ADMIN OFFICE</t>
  </si>
  <si>
    <t xml:space="preserve">ENTERTAINMENT</t>
  </si>
  <si>
    <t xml:space="preserve">SKY ZONE</t>
  </si>
  <si>
    <t xml:space="preserve">TOTAL</t>
  </si>
  <si>
    <t xml:space="preserve">PROGRAM THRESHOLD MATRIX  —  Input for Speckle Automate</t>
  </si>
  <si>
    <t xml:space="preserve">Max % = maximum share one program may occupy before the floor is flagged as mono-functional</t>
  </si>
  <si>
    <t xml:space="preserve">ZONE / PROGRAM</t>
  </si>
  <si>
    <t xml:space="preserve">GROSS AREA (m²)</t>
  </si>
  <si>
    <t xml:space="preserve">NET USABLE (m²)</t>
  </si>
  <si>
    <t xml:space="preserve">MAX % (Threshold)</t>
  </si>
  <si>
    <t xml:space="preserve">NOTES</t>
  </si>
  <si>
    <t xml:space="preserve">Clinical + admin mix; no single use &gt;75%</t>
  </si>
  <si>
    <t xml:space="preserve">Hotel keys dominant; F&amp;B/support allowed up to 20%</t>
  </si>
  <si>
    <t xml:space="preserve">Ops + office mix; mono-use flagged &gt;70%</t>
  </si>
  <si>
    <t xml:space="preserve">Open-plan office; support uses &lt;25%</t>
  </si>
  <si>
    <t xml:space="preserve">Admin; breakout / meeting &lt;25%</t>
  </si>
  <si>
    <t xml:space="preserve">High diversity required; single use max 65%</t>
  </si>
  <si>
    <t xml:space="preserve">Observation + F&amp;B; no single program &gt;60%</t>
  </si>
  <si>
    <t xml:space="preserve">JSON FOR SPECKLE AUTOMATE  →  Copy the cell below into Input 4 (Program Threshold Matrix)</t>
  </si>
  <si>
    <t xml:space="preserve">{"MEDICAL": 75, "HOTEL": 80, "TRANSPORTATION HQ": 70, "CORPORATE OFFICE": 75, "ADMIN OFFICE": 75, "ENTERTAINMENT": 65, "SKY ZONE": 60}</t>
  </si>
  <si>
    <t xml:space="preserve">FLOOR-BY-FLOOR AREA BREAKDOWN  —  Core 15% + Structural 15% per Floor</t>
  </si>
  <si>
    <t xml:space="preserve">Each floor's gross area = Zone Gross ÷ No. of Floors  |  Core = 15%  |  Structural = 15%  |  Net Usable = 70%</t>
  </si>
  <si>
    <t xml:space="preserve">ZONE / FLOOR</t>
  </si>
  <si>
    <t xml:space="preserve">FL
#</t>
  </si>
  <si>
    <t xml:space="preserve">GROSS AREA
/ FLOOR (m²)</t>
  </si>
  <si>
    <t xml:space="preserve">CORE AREA
(15%) (m²)</t>
  </si>
  <si>
    <t xml:space="preserve">STRUCTURAL
(15%) (m²)</t>
  </si>
  <si>
    <t xml:space="preserve">NET USABLE
(70%) (m²)</t>
  </si>
  <si>
    <t xml:space="preserve">STRUCT %</t>
  </si>
  <si>
    <t xml:space="preserve">B1</t>
  </si>
  <si>
    <t xml:space="preserve">B2</t>
  </si>
  <si>
    <t xml:space="preserve">B3</t>
  </si>
  <si>
    <t xml:space="preserve">B4</t>
  </si>
  <si>
    <t xml:space="preserve">B5</t>
  </si>
  <si>
    <t xml:space="preserve">↳ MEDICAL TOTAL</t>
  </si>
  <si>
    <t xml:space="preserve">5 fl.</t>
  </si>
  <si>
    <t xml:space="preserve">L1</t>
  </si>
  <si>
    <t xml:space="preserve">L2</t>
  </si>
  <si>
    <t xml:space="preserve">L3</t>
  </si>
  <si>
    <t xml:space="preserve">L4</t>
  </si>
  <si>
    <t xml:space="preserve">L5</t>
  </si>
  <si>
    <t xml:space="preserve">L6</t>
  </si>
  <si>
    <t xml:space="preserve">L7</t>
  </si>
  <si>
    <t xml:space="preserve">L8</t>
  </si>
  <si>
    <t xml:space="preserve">L9</t>
  </si>
  <si>
    <t xml:space="preserve">L10</t>
  </si>
  <si>
    <t xml:space="preserve">L11</t>
  </si>
  <si>
    <t xml:space="preserve">L12</t>
  </si>
  <si>
    <t xml:space="preserve">↳ HOTEL TOTAL</t>
  </si>
  <si>
    <t xml:space="preserve">12 fl.</t>
  </si>
  <si>
    <t xml:space="preserve">T1</t>
  </si>
  <si>
    <t xml:space="preserve">T2</t>
  </si>
  <si>
    <t xml:space="preserve">T3</t>
  </si>
  <si>
    <t xml:space="preserve">T4</t>
  </si>
  <si>
    <t xml:space="preserve">T5</t>
  </si>
  <si>
    <t xml:space="preserve">T6</t>
  </si>
  <si>
    <t xml:space="preserve">T7</t>
  </si>
  <si>
    <t xml:space="preserve">T8</t>
  </si>
  <si>
    <t xml:space="preserve">↳ TRANSPORTATION HQ TOTAL</t>
  </si>
  <si>
    <t xml:space="preserve">8 fl.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</si>
  <si>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</si>
  <si>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</si>
  <si>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</si>
  <si>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</si>
  <si>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</si>
  <si>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</si>
  <si>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</si>
  <si>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</si>
  <si>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</si>
  <si>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C10</t>
  </si>
  <si>
    <t xml:space="preserve">↳ CORPORATE OFFICE TOTAL</t>
  </si>
  <si>
    <t xml:space="preserve">10 fl.</t>
  </si>
  <si>
    <t xml:space="preserve">A1</t>
  </si>
  <si>
    <t xml:space="preserve">A2</t>
  </si>
  <si>
    <t xml:space="preserve">A3</t>
  </si>
  <si>
    <t xml:space="preserve">A4</t>
  </si>
  <si>
    <t xml:space="preserve">A5</t>
  </si>
  <si>
    <t xml:space="preserve">A6</t>
  </si>
  <si>
    <t xml:space="preserve">A7</t>
  </si>
  <si>
    <t xml:space="preserve">A8</t>
  </si>
  <si>
    <t xml:space="preserve">↳ ADMIN OFFICE TOTAL</t>
  </si>
  <si>
    <t xml:space="preserve">E1</t>
  </si>
  <si>
    <t xml:space="preserve">E2</t>
  </si>
  <si>
    <t xml:space="preserve">E3</t>
  </si>
  <si>
    <t xml:space="preserve">E4</t>
  </si>
  <si>
    <t xml:space="preserve">E5</t>
  </si>
  <si>
    <t xml:space="preserve">E6</t>
  </si>
  <si>
    <t xml:space="preserve">↳ ENTERTAINMENT TOTAL</t>
  </si>
  <si>
    <t xml:space="preserve">6 fl.</t>
  </si>
  <si>
    <t xml:space="preserve">S1</t>
  </si>
  <si>
    <t xml:space="preserve">S2</t>
  </si>
  <si>
    <t xml:space="preserve">S3</t>
  </si>
  <si>
    <t xml:space="preserve">↳ SKY ZONE TOTAL</t>
  </si>
  <si>
    <t xml:space="preserve">3 fl.</t>
  </si>
  <si>
    <t xml:space="preserve">GRAND TOTAL — ALL ZONES</t>
  </si>
  <si>
    <t xml:space="preserve">FLOOR AREA ESTIMATOR  —  Floors per Zone</t>
  </si>
  <si>
    <t xml:space="preserve">Enter number of floors per zone → area per floor and cumulative areas calculate automatically</t>
  </si>
  <si>
    <t xml:space="preserve">NET USABLE
(m²)</t>
  </si>
  <si>
    <t xml:space="preserve">NO. OF
FLOORS</t>
  </si>
  <si>
    <t xml:space="preserve">GROSS / FLOOR
(m²)</t>
  </si>
  <si>
    <t xml:space="preserve">NET / FLOOR
(m²)</t>
  </si>
  <si>
    <t xml:space="preserve">CORE / FLOOR
(m²)</t>
  </si>
  <si>
    <t xml:space="preserve">STRUCTURAL
/ FLOOR (m²)</t>
  </si>
  <si>
    <t xml:space="preserve">TOTAL / AVG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</si>
</sst>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#,##0"/>
    <numFmt numFmtId="167" formatCode="#,##0.0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22222"/>
      <name val="Arial"/>
      <family val="0"/>
      <charset val="1"/>
    </font>
    <font>
      <b val="true"/>
      <sz val="10"/>
      <color rgb="FF0000CC"/>
      <name val="Arial"/>
      <family val="0"/>
      <charset val="1"/>
    </font>
    <font>
      <b val="true"/>
      <sz val="10"/>
      <color rgb="FF006600"/>
      <name val="Arial"/>
      <family val="0"/>
      <charset val="1"/>
    </font>
    <font>
      <b val="true"/>
      <sz val="10"/>
      <color rgb="FFE94560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sz val="10"/>
      <color rgb="FF0000CC"/>
      <name val="Arial"/>
      <family val="0"/>
      <charset val="1"/>
    </font>
    <font>
      <sz val="10"/>
      <color rgb="FF006600"/>
      <name val="Arial"/>
      <family val="0"/>
      <charset val="1"/>
    </font>
    <font>
      <i val="true"/>
      <sz val="9"/>
      <name val="Arial"/>
      <family val="0"/>
      <charset val="1"/>
    </font>
    <font>
      <sz val="9"/>
      <color rgb="FF006600"/>
      <name val="Courier New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0"/>
      <color rgb="FFCC0000"/>
      <name val="Arial"/>
      <family val="0"/>
      <charset val="1"/>
    </font>
    <font>
      <sz val="9"/>
      <color rgb="FF222222"/>
      <name val="Arial"/>
      <family val="0"/>
      <charset val="1"/>
    </font>
    <font>
      <b val="true"/>
      <sz val="9"/>
      <color rgb="FFE94560"/>
      <name val="Arial"/>
      <family val="0"/>
      <charset val="1"/>
    </font>
    <font>
      <sz val="8"/>
      <color rgb="FFFFFFFF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0F3460"/>
        <bgColor rgb="FF16213E"/>
      </patternFill>
    </fill>
    <fill>
      <patternFill patternType="solid">
        <fgColor rgb="FF16213E"/>
        <bgColor rgb="FF1A1A2E"/>
      </patternFill>
    </fill>
    <fill>
      <patternFill patternType="solid">
        <fgColor rgb="FFFFF3CD"/>
        <bgColor rgb="FFF5F5F5"/>
      </patternFill>
    </fill>
    <fill>
      <patternFill patternType="solid">
        <fgColor rgb="FFD6E4F0"/>
        <bgColor rgb="FFD4EDDA"/>
      </patternFill>
    </fill>
    <fill>
      <patternFill patternType="solid">
        <fgColor rgb="FFFFD9D9"/>
        <bgColor rgb="FFFFE0E0"/>
      </patternFill>
    </fill>
    <fill>
      <patternFill patternType="solid">
        <fgColor rgb="FFD4EDDA"/>
        <bgColor rgb="FFD6E4F0"/>
      </patternFill>
    </fill>
    <fill>
      <patternFill patternType="solid">
        <fgColor rgb="FFF5F5F5"/>
        <bgColor rgb="FFEEF9EE"/>
      </patternFill>
    </fill>
    <fill>
      <patternFill patternType="solid">
        <fgColor rgb="FFFFFFFF"/>
        <bgColor rgb="FFF5F5F5"/>
      </patternFill>
    </fill>
    <fill>
      <patternFill patternType="solid">
        <fgColor rgb="FFE94560"/>
        <bgColor rgb="FF993366"/>
      </patternFill>
    </fill>
    <fill>
      <patternFill patternType="solid">
        <fgColor rgb="FFEEF9EE"/>
        <bgColor rgb="FFF5F5F5"/>
      </patternFill>
    </fill>
    <fill>
      <patternFill patternType="solid">
        <fgColor rgb="FFFFE0E0"/>
        <bgColor rgb="FFFFD9D9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BBBBBB"/>
      </left>
      <right style="thin">
        <color rgb="FFBBBBBB"/>
      </right>
      <top style="medium">
        <color rgb="FF333333"/>
      </top>
      <bottom/>
      <diagonal/>
    </border>
    <border diagonalUp="false" diagonalDown="false">
      <left style="thin">
        <color rgb="FFBBBBBB"/>
      </left>
      <right style="thin">
        <color rgb="FFBBBBBB"/>
      </right>
      <top style="medium">
        <color rgb="FF333333"/>
      </top>
      <bottom style="medium">
        <color rgb="FF333333"/>
      </bottom>
      <diagonal/>
    </border>
    <border diagonalUp="false" diagonalDown="false">
      <left style="thin">
        <color rgb="FFBBBBBB"/>
      </left>
      <right/>
      <top style="medium">
        <color rgb="FF333333"/>
      </top>
      <bottom style="medium">
        <color rgb="FF33333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8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2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0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0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CC"/>
      <rgbColor rgb="FFFFFF00"/>
      <rgbColor rgb="FFFF00FF"/>
      <rgbColor rgb="FF00FFFF"/>
      <rgbColor rgb="FF800000"/>
      <rgbColor rgb="FF006600"/>
      <rgbColor rgb="FF1A1A2E"/>
      <rgbColor rgb="FF808000"/>
      <rgbColor rgb="FF800080"/>
      <rgbColor rgb="FF008080"/>
      <rgbColor rgb="FFBBBBBB"/>
      <rgbColor rgb="FF808080"/>
      <rgbColor rgb="FF9999FF"/>
      <rgbColor rgb="FF993366"/>
      <rgbColor rgb="FFFFF3CD"/>
      <rgbColor rgb="FFEEF9EE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D4EDDA"/>
      <rgbColor rgb="FFFFE0E0"/>
      <rgbColor rgb="FF99CCFF"/>
      <rgbColor rgb="FFFF99CC"/>
      <rgbColor rgb="FFCC99FF"/>
      <rgbColor rgb="FFFFD9D9"/>
      <rgbColor rgb="FF3366FF"/>
      <rgbColor rgb="FF33CCCC"/>
      <rgbColor rgb="FF99CC00"/>
      <rgbColor rgb="FFFFCC00"/>
      <rgbColor rgb="FFFF9900"/>
      <rgbColor rgb="FFE94560"/>
      <rgbColor rgb="FF666699"/>
      <rgbColor rgb="FF969696"/>
      <rgbColor rgb="FF0F3460"/>
      <rgbColor rgb="FF339966"/>
      <rgbColor rgb="FF16213E"/>
      <rgbColor rgb="FF222222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4" min="2" style="1" width="16"/>
    <col collapsed="false" customWidth="true" hidden="false" outlineLevel="0" max="6" min="5" style="1" width="18"/>
    <col collapsed="false" customWidth="true" hidden="false" outlineLevel="0" max="7" min="7" style="1" width="10"/>
    <col collapsed="false" customWidth="true" hidden="false" outlineLevel="0" max="8" min="8" style="1" width="13"/>
    <col collapsed="false" customWidth="true" hidden="false" outlineLevel="0" max="9" min="9" style="1" width="10"/>
  </cols>
  <sheetData>
    <row r="1" customFormat="false" ht="36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19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  <c r="B5" s="6" t="n">
        <v>0.15</v>
      </c>
    </row>
    <row r="6" customFormat="false" ht="15" hidden="false" customHeight="true" outlineLevel="0" collapsed="false">
      <c r="A6" s="5" t="s">
        <v>4</v>
      </c>
      <c r="B6" s="6" t="n">
        <v>0.15</v>
      </c>
    </row>
    <row r="7" customFormat="false" ht="15" hidden="false" customHeight="true" outlineLevel="0" collapsed="false">
      <c r="A7" s="7" t="s">
        <v>5</v>
      </c>
      <c r="B7" s="8" t="n">
        <f aca="false">1-B5-B6</f>
        <v>0.7</v>
      </c>
    </row>
    <row r="9" customFormat="false" ht="39.75" hidden="false" customHeight="true" outlineLevel="0" collapsed="false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  <c r="F9" s="9" t="s">
        <v>11</v>
      </c>
      <c r="G9" s="9" t="s">
        <v>12</v>
      </c>
      <c r="H9" s="9" t="s">
        <v>13</v>
      </c>
      <c r="I9" s="9" t="s">
        <v>14</v>
      </c>
    </row>
    <row r="10" customFormat="false" ht="21.75" hidden="false" customHeight="true" outlineLevel="0" collapsed="false">
      <c r="A10" s="10" t="s">
        <v>15</v>
      </c>
      <c r="B10" s="11" t="n">
        <v>35000</v>
      </c>
      <c r="C10" s="12" t="n">
        <f aca="false">B10*$B$5</f>
        <v>5250</v>
      </c>
      <c r="D10" s="12" t="n">
        <f aca="false">B10*$B$6</f>
        <v>5250</v>
      </c>
      <c r="E10" s="13" t="n">
        <f aca="false">C10+D10</f>
        <v>10500</v>
      </c>
      <c r="F10" s="14" t="n">
        <f aca="false">B10*$B$7</f>
        <v>24500</v>
      </c>
      <c r="G10" s="15" t="n">
        <f aca="false">$B$5</f>
        <v>0.15</v>
      </c>
      <c r="H10" s="15" t="n">
        <f aca="false">$B$6</f>
        <v>0.15</v>
      </c>
      <c r="I10" s="15" t="n">
        <f aca="false">$B$7</f>
        <v>0.7</v>
      </c>
    </row>
    <row r="11" customFormat="false" ht="21.75" hidden="false" customHeight="true" outlineLevel="0" collapsed="false">
      <c r="A11" s="10" t="s">
        <v>16</v>
      </c>
      <c r="B11" s="11" t="n">
        <v>50000</v>
      </c>
      <c r="C11" s="12" t="n">
        <f aca="false">B11*$B$5</f>
        <v>7500</v>
      </c>
      <c r="D11" s="12" t="n">
        <f aca="false">B11*$B$6</f>
        <v>7500</v>
      </c>
      <c r="E11" s="13" t="n">
        <f aca="false">C11+D11</f>
        <v>15000</v>
      </c>
      <c r="F11" s="14" t="n">
        <f aca="false">B11*$B$7</f>
        <v>35000</v>
      </c>
      <c r="G11" s="16" t="n">
        <f aca="false">$B$5</f>
        <v>0.15</v>
      </c>
      <c r="H11" s="16" t="n">
        <f aca="false">$B$6</f>
        <v>0.15</v>
      </c>
      <c r="I11" s="16" t="n">
        <f aca="false">$B$7</f>
        <v>0.7</v>
      </c>
    </row>
    <row r="12" customFormat="false" ht="21.75" hidden="false" customHeight="true" outlineLevel="0" collapsed="false">
      <c r="A12" s="10" t="s">
        <v>17</v>
      </c>
      <c r="B12" s="11" t="n">
        <v>52000</v>
      </c>
      <c r="C12" s="12" t="n">
        <f aca="false">B12*$B$5</f>
        <v>7800</v>
      </c>
      <c r="D12" s="12" t="n">
        <f aca="false">B12*$B$6</f>
        <v>7800</v>
      </c>
      <c r="E12" s="13" t="n">
        <f aca="false">C12+D12</f>
        <v>15600</v>
      </c>
      <c r="F12" s="14" t="n">
        <f aca="false">B12*$B$7</f>
        <v>36400</v>
      </c>
      <c r="G12" s="15" t="n">
        <f aca="false">$B$5</f>
        <v>0.15</v>
      </c>
      <c r="H12" s="15" t="n">
        <f aca="false">$B$6</f>
        <v>0.15</v>
      </c>
      <c r="I12" s="15" t="n">
        <f aca="false">$B$7</f>
        <v>0.7</v>
      </c>
    </row>
    <row r="13" customFormat="false" ht="21.75" hidden="false" customHeight="true" outlineLevel="0" collapsed="false">
      <c r="A13" s="10" t="s">
        <v>18</v>
      </c>
      <c r="B13" s="11" t="n">
        <v>30000</v>
      </c>
      <c r="C13" s="12" t="n">
        <f aca="false">B13*$B$5</f>
        <v>4500</v>
      </c>
      <c r="D13" s="12" t="n">
        <f aca="false">B13*$B$6</f>
        <v>4500</v>
      </c>
      <c r="E13" s="13" t="n">
        <f aca="false">C13+D13</f>
        <v>9000</v>
      </c>
      <c r="F13" s="14" t="n">
        <f aca="false">B13*$B$7</f>
        <v>21000</v>
      </c>
      <c r="G13" s="16" t="n">
        <f aca="false">$B$5</f>
        <v>0.15</v>
      </c>
      <c r="H13" s="16" t="n">
        <f aca="false">$B$6</f>
        <v>0.15</v>
      </c>
      <c r="I13" s="16" t="n">
        <f aca="false">$B$7</f>
        <v>0.7</v>
      </c>
    </row>
    <row r="14" customFormat="false" ht="21.75" hidden="false" customHeight="true" outlineLevel="0" collapsed="false">
      <c r="A14" s="10" t="s">
        <v>19</v>
      </c>
      <c r="B14" s="11" t="n">
        <v>30000</v>
      </c>
      <c r="C14" s="12" t="n">
        <f aca="false">B14*$B$5</f>
        <v>4500</v>
      </c>
      <c r="D14" s="12" t="n">
        <f aca="false">B14*$B$6</f>
        <v>4500</v>
      </c>
      <c r="E14" s="13" t="n">
        <f aca="false">C14+D14</f>
        <v>9000</v>
      </c>
      <c r="F14" s="14" t="n">
        <f aca="false">B14*$B$7</f>
        <v>21000</v>
      </c>
      <c r="G14" s="15" t="n">
        <f aca="false">$B$5</f>
        <v>0.15</v>
      </c>
      <c r="H14" s="15" t="n">
        <f aca="false">$B$6</f>
        <v>0.15</v>
      </c>
      <c r="I14" s="15" t="n">
        <f aca="false">$B$7</f>
        <v>0.7</v>
      </c>
    </row>
    <row r="15" customFormat="false" ht="21.75" hidden="false" customHeight="true" outlineLevel="0" collapsed="false">
      <c r="A15" s="10" t="s">
        <v>20</v>
      </c>
      <c r="B15" s="11" t="n">
        <v>31000</v>
      </c>
      <c r="C15" s="12" t="n">
        <f aca="false">B15*$B$5</f>
        <v>4650</v>
      </c>
      <c r="D15" s="12" t="n">
        <f aca="false">B15*$B$6</f>
        <v>4650</v>
      </c>
      <c r="E15" s="13" t="n">
        <f aca="false">C15+D15</f>
        <v>9300</v>
      </c>
      <c r="F15" s="14" t="n">
        <f aca="false">B15*$B$7</f>
        <v>21700</v>
      </c>
      <c r="G15" s="16" t="n">
        <f aca="false">$B$5</f>
        <v>0.15</v>
      </c>
      <c r="H15" s="16" t="n">
        <f aca="false">$B$6</f>
        <v>0.15</v>
      </c>
      <c r="I15" s="16" t="n">
        <f aca="false">$B$7</f>
        <v>0.7</v>
      </c>
    </row>
    <row r="16" customFormat="false" ht="21.75" hidden="false" customHeight="true" outlineLevel="0" collapsed="false">
      <c r="A16" s="10" t="s">
        <v>21</v>
      </c>
      <c r="B16" s="11" t="n">
        <v>10400</v>
      </c>
      <c r="C16" s="12" t="n">
        <f aca="false">B16*$B$5</f>
        <v>1560</v>
      </c>
      <c r="D16" s="12" t="n">
        <f aca="false">B16*$B$6</f>
        <v>1560</v>
      </c>
      <c r="E16" s="13" t="n">
        <f aca="false">C16+D16</f>
        <v>3120</v>
      </c>
      <c r="F16" s="14" t="n">
        <f aca="false">B16*$B$7</f>
        <v>7280</v>
      </c>
      <c r="G16" s="15" t="n">
        <f aca="false">$B$5</f>
        <v>0.15</v>
      </c>
      <c r="H16" s="15" t="n">
        <f aca="false">$B$6</f>
        <v>0.15</v>
      </c>
      <c r="I16" s="15" t="n">
        <f aca="false">$B$7</f>
        <v>0.7</v>
      </c>
    </row>
    <row r="17" customFormat="false" ht="25.5" hidden="false" customHeight="true" outlineLevel="0" collapsed="false">
      <c r="A17" s="17" t="s">
        <v>22</v>
      </c>
      <c r="B17" s="18" t="n">
        <f aca="false">SUM(B10:B16)</f>
        <v>238400</v>
      </c>
      <c r="C17" s="18" t="n">
        <f aca="false">SUM(C10:C16)</f>
        <v>35760</v>
      </c>
      <c r="D17" s="18" t="n">
        <f aca="false">SUM(D10:D16)</f>
        <v>35760</v>
      </c>
      <c r="E17" s="18" t="n">
        <f aca="false">SUM(E10:E16)</f>
        <v>71520</v>
      </c>
      <c r="F17" s="18" t="n">
        <f aca="false">SUM(F10:F16)</f>
        <v>166880</v>
      </c>
      <c r="G17" s="19"/>
      <c r="H17" s="19"/>
      <c r="I17" s="19"/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4" min="2" style="1" width="18"/>
    <col collapsed="false" customWidth="true" hidden="false" outlineLevel="0" max="5" min="5" style="1" width="30"/>
  </cols>
  <sheetData>
    <row r="1" customFormat="false" ht="31.5" hidden="false" customHeight="true" outlineLevel="0" collapsed="false">
      <c r="A1" s="20" t="s">
        <v>23</v>
      </c>
      <c r="B1" s="20"/>
      <c r="C1" s="20"/>
      <c r="D1" s="20"/>
      <c r="E1" s="20"/>
    </row>
    <row r="2" customFormat="false" ht="15" hidden="false" customHeight="true" outlineLevel="0" collapsed="false">
      <c r="A2" s="21" t="s">
        <v>24</v>
      </c>
      <c r="B2" s="21"/>
      <c r="C2" s="21"/>
      <c r="D2" s="21"/>
      <c r="E2" s="21"/>
    </row>
    <row r="4" customFormat="false" ht="30" hidden="false" customHeight="true" outlineLevel="0" collapsed="false">
      <c r="A4" s="22" t="s">
        <v>25</v>
      </c>
      <c r="B4" s="22" t="s">
        <v>26</v>
      </c>
      <c r="C4" s="22" t="s">
        <v>27</v>
      </c>
      <c r="D4" s="22" t="s">
        <v>28</v>
      </c>
      <c r="E4" s="22" t="s">
        <v>29</v>
      </c>
    </row>
    <row r="5" customFormat="false" ht="21.75" hidden="false" customHeight="true" outlineLevel="0" collapsed="false">
      <c r="A5" s="10" t="s">
        <v>15</v>
      </c>
      <c r="B5" s="23" t="n">
        <f aca="false">'Zone Area Matrix'!B10</f>
        <v>35000</v>
      </c>
      <c r="C5" s="24" t="n">
        <f aca="false">'Zone Area Matrix'!F10</f>
        <v>24500</v>
      </c>
      <c r="D5" s="25" t="n">
        <v>0.75</v>
      </c>
      <c r="E5" s="26" t="s">
        <v>30</v>
      </c>
    </row>
    <row r="6" customFormat="false" ht="21.75" hidden="false" customHeight="true" outlineLevel="0" collapsed="false">
      <c r="A6" s="10" t="s">
        <v>16</v>
      </c>
      <c r="B6" s="23" t="n">
        <f aca="false">'Zone Area Matrix'!B11</f>
        <v>50000</v>
      </c>
      <c r="C6" s="24" t="n">
        <f aca="false">'Zone Area Matrix'!F11</f>
        <v>35000</v>
      </c>
      <c r="D6" s="25" t="n">
        <v>0.8</v>
      </c>
      <c r="E6" s="27" t="s">
        <v>31</v>
      </c>
    </row>
    <row r="7" customFormat="false" ht="21.75" hidden="false" customHeight="true" outlineLevel="0" collapsed="false">
      <c r="A7" s="10" t="s">
        <v>17</v>
      </c>
      <c r="B7" s="23" t="n">
        <f aca="false">'Zone Area Matrix'!B12</f>
        <v>52000</v>
      </c>
      <c r="C7" s="24" t="n">
        <f aca="false">'Zone Area Matrix'!F12</f>
        <v>36400</v>
      </c>
      <c r="D7" s="25" t="n">
        <v>0.7</v>
      </c>
      <c r="E7" s="26" t="s">
        <v>32</v>
      </c>
    </row>
    <row r="8" customFormat="false" ht="21.75" hidden="false" customHeight="true" outlineLevel="0" collapsed="false">
      <c r="A8" s="10" t="s">
        <v>18</v>
      </c>
      <c r="B8" s="23" t="n">
        <f aca="false">'Zone Area Matrix'!B13</f>
        <v>30000</v>
      </c>
      <c r="C8" s="24" t="n">
        <f aca="false">'Zone Area Matrix'!F13</f>
        <v>21000</v>
      </c>
      <c r="D8" s="25" t="n">
        <v>0.75</v>
      </c>
      <c r="E8" s="27" t="s">
        <v>33</v>
      </c>
    </row>
    <row r="9" customFormat="false" ht="21.75" hidden="false" customHeight="true" outlineLevel="0" collapsed="false">
      <c r="A9" s="10" t="s">
        <v>19</v>
      </c>
      <c r="B9" s="23" t="n">
        <f aca="false">'Zone Area Matrix'!B14</f>
        <v>30000</v>
      </c>
      <c r="C9" s="24" t="n">
        <f aca="false">'Zone Area Matrix'!F14</f>
        <v>21000</v>
      </c>
      <c r="D9" s="25" t="n">
        <v>0.75</v>
      </c>
      <c r="E9" s="26" t="s">
        <v>34</v>
      </c>
    </row>
    <row r="10" customFormat="false" ht="21.75" hidden="false" customHeight="true" outlineLevel="0" collapsed="false">
      <c r="A10" s="10" t="s">
        <v>20</v>
      </c>
      <c r="B10" s="23" t="n">
        <f aca="false">'Zone Area Matrix'!B15</f>
        <v>31000</v>
      </c>
      <c r="C10" s="24" t="n">
        <f aca="false">'Zone Area Matrix'!F15</f>
        <v>21700</v>
      </c>
      <c r="D10" s="25" t="n">
        <v>0.65</v>
      </c>
      <c r="E10" s="27" t="s">
        <v>35</v>
      </c>
    </row>
    <row r="11" customFormat="false" ht="21.75" hidden="false" customHeight="true" outlineLevel="0" collapsed="false">
      <c r="A11" s="10" t="s">
        <v>21</v>
      </c>
      <c r="B11" s="23" t="n">
        <f aca="false">'Zone Area Matrix'!B16</f>
        <v>10400</v>
      </c>
      <c r="C11" s="24" t="n">
        <f aca="false">'Zone Area Matrix'!F16</f>
        <v>7280</v>
      </c>
      <c r="D11" s="25" t="n">
        <v>0.6</v>
      </c>
      <c r="E11" s="26" t="s">
        <v>36</v>
      </c>
    </row>
    <row r="14" customFormat="false" ht="24" hidden="false" customHeight="true" outlineLevel="0" collapsed="false">
      <c r="A14" s="28" t="s">
        <v>37</v>
      </c>
      <c r="B14" s="28"/>
      <c r="C14" s="28"/>
      <c r="D14" s="28"/>
      <c r="E14" s="28"/>
    </row>
    <row r="15" customFormat="false" ht="36" hidden="false" customHeight="true" outlineLevel="0" collapsed="false">
      <c r="A15" s="29" t="s">
        <v>38</v>
      </c>
      <c r="B15" s="29"/>
      <c r="C15" s="29"/>
      <c r="D15" s="29"/>
      <c r="E15" s="29"/>
    </row>
  </sheetData>
  <mergeCells count="4">
    <mergeCell ref="A1:E1"/>
    <mergeCell ref="A2:E2"/>
    <mergeCell ref="A14:E14"/>
    <mergeCell ref="A15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"/>
    <col collapsed="false" customWidth="true" hidden="false" outlineLevel="0" max="10" min="3" style="0" width="16"/>
  </cols>
  <sheetData>
    <row r="1" customFormat="false" ht="36" hidden="false" customHeight="true" outlineLevel="0" collapsed="false">
      <c r="A1" s="30" t="s">
        <v>39</v>
      </c>
      <c r="B1" s="30"/>
      <c r="C1" s="30"/>
      <c r="D1" s="30"/>
      <c r="E1" s="30"/>
      <c r="F1" s="30"/>
      <c r="G1" s="30"/>
      <c r="H1" s="30"/>
      <c r="I1" s="30"/>
      <c r="J1" s="30"/>
    </row>
    <row r="2" customFormat="false" ht="18" hidden="false" customHeight="true" outlineLevel="0" collapsed="false">
      <c r="A2" s="21" t="s">
        <v>40</v>
      </c>
      <c r="B2" s="21"/>
      <c r="C2" s="21"/>
      <c r="D2" s="21"/>
      <c r="E2" s="21"/>
      <c r="F2" s="21"/>
      <c r="G2" s="21"/>
      <c r="H2" s="21"/>
      <c r="I2" s="21"/>
      <c r="J2" s="21"/>
    </row>
    <row r="4" customFormat="false" ht="21.75" hidden="false" customHeight="true" outlineLevel="0" collapsed="false">
      <c r="A4" s="5" t="s">
        <v>3</v>
      </c>
      <c r="B4" s="6" t="n">
        <v>0.15</v>
      </c>
      <c r="C4" s="5" t="s">
        <v>4</v>
      </c>
      <c r="D4" s="6" t="n">
        <v>0.15</v>
      </c>
      <c r="E4" s="5" t="s">
        <v>5</v>
      </c>
      <c r="F4" s="31" t="n">
        <f aca="false">1-B4-D4</f>
        <v>0.7</v>
      </c>
    </row>
    <row r="6" customFormat="false" ht="43.5" hidden="false" customHeight="true" outlineLevel="0" collapsed="false">
      <c r="A6" s="32" t="s">
        <v>41</v>
      </c>
      <c r="B6" s="32" t="s">
        <v>42</v>
      </c>
      <c r="C6" s="32" t="s">
        <v>43</v>
      </c>
      <c r="D6" s="32" t="s">
        <v>44</v>
      </c>
      <c r="E6" s="32" t="s">
        <v>45</v>
      </c>
      <c r="F6" s="32" t="s">
        <v>10</v>
      </c>
      <c r="G6" s="32" t="s">
        <v>46</v>
      </c>
      <c r="H6" s="32" t="s">
        <v>12</v>
      </c>
      <c r="I6" s="32" t="s">
        <v>47</v>
      </c>
      <c r="J6" s="32" t="s">
        <v>14</v>
      </c>
    </row>
    <row r="7" customFormat="false" ht="19.5" hidden="false" customHeight="true" outlineLevel="0" collapsed="false">
      <c r="A7" s="33" t="s">
        <v>15</v>
      </c>
      <c r="B7" s="34" t="s">
        <v>48</v>
      </c>
      <c r="C7" s="35" t="n">
        <f aca="false">35000/5</f>
        <v>7000</v>
      </c>
      <c r="D7" s="36" t="n">
        <f aca="false">C7*$B$4</f>
        <v>1050</v>
      </c>
      <c r="E7" s="36" t="n">
        <f aca="false">C7*$D$4</f>
        <v>1050</v>
      </c>
      <c r="F7" s="37" t="n">
        <f aca="false">D7+E7</f>
        <v>2100</v>
      </c>
      <c r="G7" s="38" t="n">
        <f aca="false">C7*$F$4</f>
        <v>4900</v>
      </c>
      <c r="H7" s="39" t="n">
        <f aca="false">$B$4</f>
        <v>0.15</v>
      </c>
      <c r="I7" s="39" t="n">
        <f aca="false">$D$4</f>
        <v>0.15</v>
      </c>
      <c r="J7" s="39" t="n">
        <f aca="false">$F$4</f>
        <v>0.7</v>
      </c>
    </row>
    <row r="8" customFormat="false" ht="19.5" hidden="false" customHeight="true" outlineLevel="0" collapsed="false">
      <c r="A8" s="33"/>
      <c r="B8" s="34" t="s">
        <v>49</v>
      </c>
      <c r="C8" s="35" t="n">
        <f aca="false">35000/5</f>
        <v>7000</v>
      </c>
      <c r="D8" s="36" t="n">
        <f aca="false">C8*$B$4</f>
        <v>1050</v>
      </c>
      <c r="E8" s="36" t="n">
        <f aca="false">C8*$D$4</f>
        <v>1050</v>
      </c>
      <c r="F8" s="37" t="n">
        <f aca="false">D8+E8</f>
        <v>2100</v>
      </c>
      <c r="G8" s="38" t="n">
        <f aca="false">C8*$F$4</f>
        <v>4900</v>
      </c>
      <c r="H8" s="40" t="n">
        <f aca="false">$B$4</f>
        <v>0.15</v>
      </c>
      <c r="I8" s="40" t="n">
        <f aca="false">$D$4</f>
        <v>0.15</v>
      </c>
      <c r="J8" s="40" t="n">
        <f aca="false">$F$4</f>
        <v>0.7</v>
      </c>
    </row>
    <row r="9" customFormat="false" ht="19.5" hidden="false" customHeight="true" outlineLevel="0" collapsed="false">
      <c r="A9" s="33"/>
      <c r="B9" s="34" t="s">
        <v>50</v>
      </c>
      <c r="C9" s="35" t="n">
        <f aca="false">35000/5</f>
        <v>7000</v>
      </c>
      <c r="D9" s="36" t="n">
        <f aca="false">C9*$B$4</f>
        <v>1050</v>
      </c>
      <c r="E9" s="36" t="n">
        <f aca="false">C9*$D$4</f>
        <v>1050</v>
      </c>
      <c r="F9" s="37" t="n">
        <f aca="false">D9+E9</f>
        <v>2100</v>
      </c>
      <c r="G9" s="38" t="n">
        <f aca="false">C9*$F$4</f>
        <v>4900</v>
      </c>
      <c r="H9" s="39" t="n">
        <f aca="false">$B$4</f>
        <v>0.15</v>
      </c>
      <c r="I9" s="39" t="n">
        <f aca="false">$D$4</f>
        <v>0.15</v>
      </c>
      <c r="J9" s="39" t="n">
        <f aca="false">$F$4</f>
        <v>0.7</v>
      </c>
    </row>
    <row r="10" customFormat="false" ht="19.5" hidden="false" customHeight="true" outlineLevel="0" collapsed="false">
      <c r="A10" s="33"/>
      <c r="B10" s="34" t="s">
        <v>51</v>
      </c>
      <c r="C10" s="35" t="n">
        <f aca="false">35000/5</f>
        <v>7000</v>
      </c>
      <c r="D10" s="36" t="n">
        <f aca="false">C10*$B$4</f>
        <v>1050</v>
      </c>
      <c r="E10" s="36" t="n">
        <f aca="false">C10*$D$4</f>
        <v>1050</v>
      </c>
      <c r="F10" s="37" t="n">
        <f aca="false">D10+E10</f>
        <v>2100</v>
      </c>
      <c r="G10" s="38" t="n">
        <f aca="false">C10*$F$4</f>
        <v>4900</v>
      </c>
      <c r="H10" s="40" t="n">
        <f aca="false">$B$4</f>
        <v>0.15</v>
      </c>
      <c r="I10" s="40" t="n">
        <f aca="false">$D$4</f>
        <v>0.15</v>
      </c>
      <c r="J10" s="40" t="n">
        <f aca="false">$F$4</f>
        <v>0.7</v>
      </c>
    </row>
    <row r="11" customFormat="false" ht="19.5" hidden="false" customHeight="true" outlineLevel="0" collapsed="false">
      <c r="A11" s="33"/>
      <c r="B11" s="34" t="s">
        <v>52</v>
      </c>
      <c r="C11" s="35" t="n">
        <f aca="false">35000/5</f>
        <v>7000</v>
      </c>
      <c r="D11" s="36" t="n">
        <f aca="false">C11*$B$4</f>
        <v>1050</v>
      </c>
      <c r="E11" s="36" t="n">
        <f aca="false">C11*$D$4</f>
        <v>1050</v>
      </c>
      <c r="F11" s="37" t="n">
        <f aca="false">D11+E11</f>
        <v>2100</v>
      </c>
      <c r="G11" s="38" t="n">
        <f aca="false">C11*$F$4</f>
        <v>4900</v>
      </c>
      <c r="H11" s="39" t="n">
        <f aca="false">$B$4</f>
        <v>0.15</v>
      </c>
      <c r="I11" s="39" t="n">
        <f aca="false">$D$4</f>
        <v>0.15</v>
      </c>
      <c r="J11" s="39" t="n">
        <f aca="false">$F$4</f>
        <v>0.7</v>
      </c>
    </row>
    <row r="12" customFormat="false" ht="21.75" hidden="false" customHeight="true" outlineLevel="0" collapsed="false">
      <c r="A12" s="41" t="s">
        <v>53</v>
      </c>
      <c r="B12" s="42" t="s">
        <v>54</v>
      </c>
      <c r="C12" s="43" t="n">
        <f aca="false">SUM(C7:C11)</f>
        <v>35000</v>
      </c>
      <c r="D12" s="43" t="n">
        <f aca="false">SUM(D7:D11)</f>
        <v>5250</v>
      </c>
      <c r="E12" s="43" t="n">
        <f aca="false">SUM(E7:E11)</f>
        <v>5250</v>
      </c>
      <c r="F12" s="43" t="n">
        <f aca="false">SUM(F7:F11)</f>
        <v>10500</v>
      </c>
      <c r="G12" s="43" t="n">
        <f aca="false">SUM(G7:G11)</f>
        <v>24500</v>
      </c>
      <c r="H12" s="44" t="n">
        <f aca="false">$B$4</f>
        <v>0.15</v>
      </c>
      <c r="I12" s="44" t="n">
        <f aca="false">$D$4</f>
        <v>0.15</v>
      </c>
      <c r="J12" s="44" t="n">
        <f aca="false">$F$4</f>
        <v>0.7</v>
      </c>
    </row>
    <row r="14" customFormat="false" ht="19.5" hidden="false" customHeight="true" outlineLevel="0" collapsed="false">
      <c r="A14" s="33" t="s">
        <v>16</v>
      </c>
      <c r="B14" s="34" t="s">
        <v>55</v>
      </c>
      <c r="C14" s="35" t="n">
        <f aca="false">50000/12</f>
        <v>4166.66666666667</v>
      </c>
      <c r="D14" s="36" t="n">
        <f aca="false">C14*$B$4</f>
        <v>625</v>
      </c>
      <c r="E14" s="36" t="n">
        <f aca="false">C14*$D$4</f>
        <v>625</v>
      </c>
      <c r="F14" s="37" t="n">
        <f aca="false">D14+E14</f>
        <v>1250</v>
      </c>
      <c r="G14" s="38" t="n">
        <f aca="false">C14*$F$4</f>
        <v>2916.66666666667</v>
      </c>
      <c r="H14" s="39" t="n">
        <f aca="false">$B$4</f>
        <v>0.15</v>
      </c>
      <c r="I14" s="39" t="n">
        <f aca="false">$D$4</f>
        <v>0.15</v>
      </c>
      <c r="J14" s="39" t="n">
        <f aca="false">$F$4</f>
        <v>0.7</v>
      </c>
    </row>
    <row r="15" customFormat="false" ht="19.5" hidden="false" customHeight="true" outlineLevel="0" collapsed="false">
      <c r="A15" s="33"/>
      <c r="B15" s="34" t="s">
        <v>56</v>
      </c>
      <c r="C15" s="35" t="n">
        <f aca="false">50000/12</f>
        <v>4166.66666666667</v>
      </c>
      <c r="D15" s="36" t="n">
        <f aca="false">C15*$B$4</f>
        <v>625</v>
      </c>
      <c r="E15" s="36" t="n">
        <f aca="false">C15*$D$4</f>
        <v>625</v>
      </c>
      <c r="F15" s="37" t="n">
        <f aca="false">D15+E15</f>
        <v>1250</v>
      </c>
      <c r="G15" s="38" t="n">
        <f aca="false">C15*$F$4</f>
        <v>2916.66666666667</v>
      </c>
      <c r="H15" s="40" t="n">
        <f aca="false">$B$4</f>
        <v>0.15</v>
      </c>
      <c r="I15" s="40" t="n">
        <f aca="false">$D$4</f>
        <v>0.15</v>
      </c>
      <c r="J15" s="40" t="n">
        <f aca="false">$F$4</f>
        <v>0.7</v>
      </c>
    </row>
    <row r="16" customFormat="false" ht="19.5" hidden="false" customHeight="true" outlineLevel="0" collapsed="false">
      <c r="A16" s="33"/>
      <c r="B16" s="34" t="s">
        <v>57</v>
      </c>
      <c r="C16" s="35" t="n">
        <f aca="false">50000/12</f>
        <v>4166.66666666667</v>
      </c>
      <c r="D16" s="36" t="n">
        <f aca="false">C16*$B$4</f>
        <v>625</v>
      </c>
      <c r="E16" s="36" t="n">
        <f aca="false">C16*$D$4</f>
        <v>625</v>
      </c>
      <c r="F16" s="37" t="n">
        <f aca="false">D16+E16</f>
        <v>1250</v>
      </c>
      <c r="G16" s="38" t="n">
        <f aca="false">C16*$F$4</f>
        <v>2916.66666666667</v>
      </c>
      <c r="H16" s="39" t="n">
        <f aca="false">$B$4</f>
        <v>0.15</v>
      </c>
      <c r="I16" s="39" t="n">
        <f aca="false">$D$4</f>
        <v>0.15</v>
      </c>
      <c r="J16" s="39" t="n">
        <f aca="false">$F$4</f>
        <v>0.7</v>
      </c>
    </row>
    <row r="17" customFormat="false" ht="19.5" hidden="false" customHeight="true" outlineLevel="0" collapsed="false">
      <c r="A17" s="33"/>
      <c r="B17" s="34" t="s">
        <v>58</v>
      </c>
      <c r="C17" s="35" t="n">
        <f aca="false">50000/12</f>
        <v>4166.66666666667</v>
      </c>
      <c r="D17" s="36" t="n">
        <f aca="false">C17*$B$4</f>
        <v>625</v>
      </c>
      <c r="E17" s="36" t="n">
        <f aca="false">C17*$D$4</f>
        <v>625</v>
      </c>
      <c r="F17" s="37" t="n">
        <f aca="false">D17+E17</f>
        <v>1250</v>
      </c>
      <c r="G17" s="38" t="n">
        <f aca="false">C17*$F$4</f>
        <v>2916.66666666667</v>
      </c>
      <c r="H17" s="40" t="n">
        <f aca="false">$B$4</f>
        <v>0.15</v>
      </c>
      <c r="I17" s="40" t="n">
        <f aca="false">$D$4</f>
        <v>0.15</v>
      </c>
      <c r="J17" s="40" t="n">
        <f aca="false">$F$4</f>
        <v>0.7</v>
      </c>
    </row>
    <row r="18" customFormat="false" ht="19.5" hidden="false" customHeight="true" outlineLevel="0" collapsed="false">
      <c r="A18" s="33"/>
      <c r="B18" s="34" t="s">
        <v>59</v>
      </c>
      <c r="C18" s="35" t="n">
        <f aca="false">50000/12</f>
        <v>4166.66666666667</v>
      </c>
      <c r="D18" s="36" t="n">
        <f aca="false">C18*$B$4</f>
        <v>625</v>
      </c>
      <c r="E18" s="36" t="n">
        <f aca="false">C18*$D$4</f>
        <v>625</v>
      </c>
      <c r="F18" s="37" t="n">
        <f aca="false">D18+E18</f>
        <v>1250</v>
      </c>
      <c r="G18" s="38" t="n">
        <f aca="false">C18*$F$4</f>
        <v>2916.66666666667</v>
      </c>
      <c r="H18" s="39" t="n">
        <f aca="false">$B$4</f>
        <v>0.15</v>
      </c>
      <c r="I18" s="39" t="n">
        <f aca="false">$D$4</f>
        <v>0.15</v>
      </c>
      <c r="J18" s="39" t="n">
        <f aca="false">$F$4</f>
        <v>0.7</v>
      </c>
    </row>
    <row r="19" customFormat="false" ht="19.5" hidden="false" customHeight="true" outlineLevel="0" collapsed="false">
      <c r="A19" s="33"/>
      <c r="B19" s="34" t="s">
        <v>60</v>
      </c>
      <c r="C19" s="35" t="n">
        <f aca="false">50000/12</f>
        <v>4166.66666666667</v>
      </c>
      <c r="D19" s="36" t="n">
        <f aca="false">C19*$B$4</f>
        <v>625</v>
      </c>
      <c r="E19" s="36" t="n">
        <f aca="false">C19*$D$4</f>
        <v>625</v>
      </c>
      <c r="F19" s="37" t="n">
        <f aca="false">D19+E19</f>
        <v>1250</v>
      </c>
      <c r="G19" s="38" t="n">
        <f aca="false">C19*$F$4</f>
        <v>2916.66666666667</v>
      </c>
      <c r="H19" s="40" t="n">
        <f aca="false">$B$4</f>
        <v>0.15</v>
      </c>
      <c r="I19" s="40" t="n">
        <f aca="false">$D$4</f>
        <v>0.15</v>
      </c>
      <c r="J19" s="40" t="n">
        <f aca="false">$F$4</f>
        <v>0.7</v>
      </c>
    </row>
    <row r="20" customFormat="false" ht="19.5" hidden="false" customHeight="true" outlineLevel="0" collapsed="false">
      <c r="A20" s="33"/>
      <c r="B20" s="34" t="s">
        <v>61</v>
      </c>
      <c r="C20" s="35" t="n">
        <f aca="false">50000/12</f>
        <v>4166.66666666667</v>
      </c>
      <c r="D20" s="36" t="n">
        <f aca="false">C20*$B$4</f>
        <v>625</v>
      </c>
      <c r="E20" s="36" t="n">
        <f aca="false">C20*$D$4</f>
        <v>625</v>
      </c>
      <c r="F20" s="37" t="n">
        <f aca="false">D20+E20</f>
        <v>1250</v>
      </c>
      <c r="G20" s="38" t="n">
        <f aca="false">C20*$F$4</f>
        <v>2916.66666666667</v>
      </c>
      <c r="H20" s="39" t="n">
        <f aca="false">$B$4</f>
        <v>0.15</v>
      </c>
      <c r="I20" s="39" t="n">
        <f aca="false">$D$4</f>
        <v>0.15</v>
      </c>
      <c r="J20" s="39" t="n">
        <f aca="false">$F$4</f>
        <v>0.7</v>
      </c>
    </row>
    <row r="21" customFormat="false" ht="19.5" hidden="false" customHeight="true" outlineLevel="0" collapsed="false">
      <c r="A21" s="33"/>
      <c r="B21" s="34" t="s">
        <v>62</v>
      </c>
      <c r="C21" s="35" t="n">
        <f aca="false">50000/12</f>
        <v>4166.66666666667</v>
      </c>
      <c r="D21" s="36" t="n">
        <f aca="false">C21*$B$4</f>
        <v>625</v>
      </c>
      <c r="E21" s="36" t="n">
        <f aca="false">C21*$D$4</f>
        <v>625</v>
      </c>
      <c r="F21" s="37" t="n">
        <f aca="false">D21+E21</f>
        <v>1250</v>
      </c>
      <c r="G21" s="38" t="n">
        <f aca="false">C21*$F$4</f>
        <v>2916.66666666667</v>
      </c>
      <c r="H21" s="40" t="n">
        <f aca="false">$B$4</f>
        <v>0.15</v>
      </c>
      <c r="I21" s="40" t="n">
        <f aca="false">$D$4</f>
        <v>0.15</v>
      </c>
      <c r="J21" s="40" t="n">
        <f aca="false">$F$4</f>
        <v>0.7</v>
      </c>
    </row>
    <row r="22" customFormat="false" ht="19.5" hidden="false" customHeight="true" outlineLevel="0" collapsed="false">
      <c r="A22" s="33"/>
      <c r="B22" s="34" t="s">
        <v>63</v>
      </c>
      <c r="C22" s="35" t="n">
        <f aca="false">50000/12</f>
        <v>4166.66666666667</v>
      </c>
      <c r="D22" s="36" t="n">
        <f aca="false">C22*$B$4</f>
        <v>625</v>
      </c>
      <c r="E22" s="36" t="n">
        <f aca="false">C22*$D$4</f>
        <v>625</v>
      </c>
      <c r="F22" s="37" t="n">
        <f aca="false">D22+E22</f>
        <v>1250</v>
      </c>
      <c r="G22" s="38" t="n">
        <f aca="false">C22*$F$4</f>
        <v>2916.66666666667</v>
      </c>
      <c r="H22" s="39" t="n">
        <f aca="false">$B$4</f>
        <v>0.15</v>
      </c>
      <c r="I22" s="39" t="n">
        <f aca="false">$D$4</f>
        <v>0.15</v>
      </c>
      <c r="J22" s="39" t="n">
        <f aca="false">$F$4</f>
        <v>0.7</v>
      </c>
    </row>
    <row r="23" customFormat="false" ht="19.5" hidden="false" customHeight="true" outlineLevel="0" collapsed="false">
      <c r="A23" s="33"/>
      <c r="B23" s="34" t="s">
        <v>64</v>
      </c>
      <c r="C23" s="35" t="n">
        <f aca="false">50000/12</f>
        <v>4166.66666666667</v>
      </c>
      <c r="D23" s="36" t="n">
        <f aca="false">C23*$B$4</f>
        <v>625</v>
      </c>
      <c r="E23" s="36" t="n">
        <f aca="false">C23*$D$4</f>
        <v>625</v>
      </c>
      <c r="F23" s="37" t="n">
        <f aca="false">D23+E23</f>
        <v>1250</v>
      </c>
      <c r="G23" s="38" t="n">
        <f aca="false">C23*$F$4</f>
        <v>2916.66666666667</v>
      </c>
      <c r="H23" s="40" t="n">
        <f aca="false">$B$4</f>
        <v>0.15</v>
      </c>
      <c r="I23" s="40" t="n">
        <f aca="false">$D$4</f>
        <v>0.15</v>
      </c>
      <c r="J23" s="40" t="n">
        <f aca="false">$F$4</f>
        <v>0.7</v>
      </c>
    </row>
    <row r="24" customFormat="false" ht="19.5" hidden="false" customHeight="true" outlineLevel="0" collapsed="false">
      <c r="A24" s="33"/>
      <c r="B24" s="34" t="s">
        <v>65</v>
      </c>
      <c r="C24" s="35" t="n">
        <f aca="false">50000/12</f>
        <v>4166.66666666667</v>
      </c>
      <c r="D24" s="36" t="n">
        <f aca="false">C24*$B$4</f>
        <v>625</v>
      </c>
      <c r="E24" s="36" t="n">
        <f aca="false">C24*$D$4</f>
        <v>625</v>
      </c>
      <c r="F24" s="37" t="n">
        <f aca="false">D24+E24</f>
        <v>1250</v>
      </c>
      <c r="G24" s="38" t="n">
        <f aca="false">C24*$F$4</f>
        <v>2916.66666666667</v>
      </c>
      <c r="H24" s="39" t="n">
        <f aca="false">$B$4</f>
        <v>0.15</v>
      </c>
      <c r="I24" s="39" t="n">
        <f aca="false">$D$4</f>
        <v>0.15</v>
      </c>
      <c r="J24" s="39" t="n">
        <f aca="false">$F$4</f>
        <v>0.7</v>
      </c>
    </row>
    <row r="25" customFormat="false" ht="19.5" hidden="false" customHeight="true" outlineLevel="0" collapsed="false">
      <c r="A25" s="33"/>
      <c r="B25" s="34" t="s">
        <v>66</v>
      </c>
      <c r="C25" s="35" t="n">
        <f aca="false">50000/12</f>
        <v>4166.66666666667</v>
      </c>
      <c r="D25" s="36" t="n">
        <f aca="false">C25*$B$4</f>
        <v>625</v>
      </c>
      <c r="E25" s="36" t="n">
        <f aca="false">C25*$D$4</f>
        <v>625</v>
      </c>
      <c r="F25" s="37" t="n">
        <f aca="false">D25+E25</f>
        <v>1250</v>
      </c>
      <c r="G25" s="38" t="n">
        <f aca="false">C25*$F$4</f>
        <v>2916.66666666667</v>
      </c>
      <c r="H25" s="40" t="n">
        <f aca="false">$B$4</f>
        <v>0.15</v>
      </c>
      <c r="I25" s="40" t="n">
        <f aca="false">$D$4</f>
        <v>0.15</v>
      </c>
      <c r="J25" s="40" t="n">
        <f aca="false">$F$4</f>
        <v>0.7</v>
      </c>
    </row>
    <row r="26" customFormat="false" ht="21.75" hidden="false" customHeight="true" outlineLevel="0" collapsed="false">
      <c r="A26" s="41" t="s">
        <v>67</v>
      </c>
      <c r="B26" s="42" t="s">
        <v>68</v>
      </c>
      <c r="C26" s="43" t="n">
        <f aca="false">SUM(C14:C25)</f>
        <v>50000</v>
      </c>
      <c r="D26" s="43" t="n">
        <f aca="false">SUM(D14:D25)</f>
        <v>7500</v>
      </c>
      <c r="E26" s="43" t="n">
        <f aca="false">SUM(E14:E25)</f>
        <v>7500</v>
      </c>
      <c r="F26" s="43" t="n">
        <f aca="false">SUM(F14:F25)</f>
        <v>15000</v>
      </c>
      <c r="G26" s="43" t="n">
        <f aca="false">SUM(G14:G25)</f>
        <v>35000</v>
      </c>
      <c r="H26" s="44" t="n">
        <f aca="false">$B$4</f>
        <v>0.15</v>
      </c>
      <c r="I26" s="44" t="n">
        <f aca="false">$D$4</f>
        <v>0.15</v>
      </c>
      <c r="J26" s="44" t="n">
        <f aca="false">$F$4</f>
        <v>0.7</v>
      </c>
    </row>
    <row r="28" customFormat="false" ht="19.5" hidden="false" customHeight="true" outlineLevel="0" collapsed="false">
      <c r="A28" s="33" t="s">
        <v>17</v>
      </c>
      <c r="B28" s="34" t="s">
        <v>69</v>
      </c>
      <c r="C28" s="35" t="n">
        <f aca="false">52000/8</f>
        <v>6500</v>
      </c>
      <c r="D28" s="36" t="n">
        <f aca="false">C28*$B$4</f>
        <v>975</v>
      </c>
      <c r="E28" s="36" t="n">
        <f aca="false">C28*$D$4</f>
        <v>975</v>
      </c>
      <c r="F28" s="37" t="n">
        <f aca="false">D28+E28</f>
        <v>1950</v>
      </c>
      <c r="G28" s="38" t="n">
        <f aca="false">C28*$F$4</f>
        <v>4550</v>
      </c>
      <c r="H28" s="39" t="n">
        <f aca="false">$B$4</f>
        <v>0.15</v>
      </c>
      <c r="I28" s="39" t="n">
        <f aca="false">$D$4</f>
        <v>0.15</v>
      </c>
      <c r="J28" s="39" t="n">
        <f aca="false">$F$4</f>
        <v>0.7</v>
      </c>
    </row>
    <row r="29" customFormat="false" ht="19.5" hidden="false" customHeight="true" outlineLevel="0" collapsed="false">
      <c r="A29" s="33"/>
      <c r="B29" s="34" t="s">
        <v>70</v>
      </c>
      <c r="C29" s="35" t="n">
        <f aca="false">52000/8</f>
        <v>6500</v>
      </c>
      <c r="D29" s="36" t="n">
        <f aca="false">C29*$B$4</f>
        <v>975</v>
      </c>
      <c r="E29" s="36" t="n">
        <f aca="false">C29*$D$4</f>
        <v>975</v>
      </c>
      <c r="F29" s="37" t="n">
        <f aca="false">D29+E29</f>
        <v>1950</v>
      </c>
      <c r="G29" s="38" t="n">
        <f aca="false">C29*$F$4</f>
        <v>4550</v>
      </c>
      <c r="H29" s="40" t="n">
        <f aca="false">$B$4</f>
        <v>0.15</v>
      </c>
      <c r="I29" s="40" t="n">
        <f aca="false">$D$4</f>
        <v>0.15</v>
      </c>
      <c r="J29" s="40" t="n">
        <f aca="false">$F$4</f>
        <v>0.7</v>
      </c>
    </row>
    <row r="30" customFormat="false" ht="19.5" hidden="false" customHeight="true" outlineLevel="0" collapsed="false">
      <c r="A30" s="33"/>
      <c r="B30" s="34" t="s">
        <v>71</v>
      </c>
      <c r="C30" s="35" t="n">
        <f aca="false">52000/8</f>
        <v>6500</v>
      </c>
      <c r="D30" s="36" t="n">
        <f aca="false">C30*$B$4</f>
        <v>975</v>
      </c>
      <c r="E30" s="36" t="n">
        <f aca="false">C30*$D$4</f>
        <v>975</v>
      </c>
      <c r="F30" s="37" t="n">
        <f aca="false">D30+E30</f>
        <v>1950</v>
      </c>
      <c r="G30" s="38" t="n">
        <f aca="false">C30*$F$4</f>
        <v>4550</v>
      </c>
      <c r="H30" s="39" t="n">
        <f aca="false">$B$4</f>
        <v>0.15</v>
      </c>
      <c r="I30" s="39" t="n">
        <f aca="false">$D$4</f>
        <v>0.15</v>
      </c>
      <c r="J30" s="39" t="n">
        <f aca="false">$F$4</f>
        <v>0.7</v>
      </c>
    </row>
    <row r="31" customFormat="false" ht="19.5" hidden="false" customHeight="true" outlineLevel="0" collapsed="false">
      <c r="A31" s="33"/>
      <c r="B31" s="34" t="s">
        <v>72</v>
      </c>
      <c r="C31" s="35" t="n">
        <f aca="false">52000/8</f>
        <v>6500</v>
      </c>
      <c r="D31" s="36" t="n">
        <f aca="false">C31*$B$4</f>
        <v>975</v>
      </c>
      <c r="E31" s="36" t="n">
        <f aca="false">C31*$D$4</f>
        <v>975</v>
      </c>
      <c r="F31" s="37" t="n">
        <f aca="false">D31+E31</f>
        <v>1950</v>
      </c>
      <c r="G31" s="38" t="n">
        <f aca="false">C31*$F$4</f>
        <v>4550</v>
      </c>
      <c r="H31" s="40" t="n">
        <f aca="false">$B$4</f>
        <v>0.15</v>
      </c>
      <c r="I31" s="40" t="n">
        <f aca="false">$D$4</f>
        <v>0.15</v>
      </c>
      <c r="J31" s="40" t="n">
        <f aca="false">$F$4</f>
        <v>0.7</v>
      </c>
    </row>
    <row r="32" customFormat="false" ht="19.5" hidden="false" customHeight="true" outlineLevel="0" collapsed="false">
      <c r="A32" s="33"/>
      <c r="B32" s="34" t="s">
        <v>73</v>
      </c>
      <c r="C32" s="35" t="n">
        <f aca="false">52000/8</f>
        <v>6500</v>
      </c>
      <c r="D32" s="36" t="n">
        <f aca="false">C32*$B$4</f>
        <v>975</v>
      </c>
      <c r="E32" s="36" t="n">
        <f aca="false">C32*$D$4</f>
        <v>975</v>
      </c>
      <c r="F32" s="37" t="n">
        <f aca="false">D32+E32</f>
        <v>1950</v>
      </c>
      <c r="G32" s="38" t="n">
        <f aca="false">C32*$F$4</f>
        <v>4550</v>
      </c>
      <c r="H32" s="39" t="n">
        <f aca="false">$B$4</f>
        <v>0.15</v>
      </c>
      <c r="I32" s="39" t="n">
        <f aca="false">$D$4</f>
        <v>0.15</v>
      </c>
      <c r="J32" s="39" t="n">
        <f aca="false">$F$4</f>
        <v>0.7</v>
      </c>
    </row>
    <row r="33" customFormat="false" ht="19.5" hidden="false" customHeight="true" outlineLevel="0" collapsed="false">
      <c r="A33" s="33"/>
      <c r="B33" s="34" t="s">
        <v>74</v>
      </c>
      <c r="C33" s="35" t="n">
        <f aca="false">52000/8</f>
        <v>6500</v>
      </c>
      <c r="D33" s="36" t="n">
        <f aca="false">C33*$B$4</f>
        <v>975</v>
      </c>
      <c r="E33" s="36" t="n">
        <f aca="false">C33*$D$4</f>
        <v>975</v>
      </c>
      <c r="F33" s="37" t="n">
        <f aca="false">D33+E33</f>
        <v>1950</v>
      </c>
      <c r="G33" s="38" t="n">
        <f aca="false">C33*$F$4</f>
        <v>4550</v>
      </c>
      <c r="H33" s="40" t="n">
        <f aca="false">$B$4</f>
        <v>0.15</v>
      </c>
      <c r="I33" s="40" t="n">
        <f aca="false">$D$4</f>
        <v>0.15</v>
      </c>
      <c r="J33" s="40" t="n">
        <f aca="false">$F$4</f>
        <v>0.7</v>
      </c>
    </row>
    <row r="34" customFormat="false" ht="19.5" hidden="false" customHeight="true" outlineLevel="0" collapsed="false">
      <c r="A34" s="33"/>
      <c r="B34" s="34" t="s">
        <v>75</v>
      </c>
      <c r="C34" s="35" t="n">
        <f aca="false">52000/8</f>
        <v>6500</v>
      </c>
      <c r="D34" s="36" t="n">
        <f aca="false">C34*$B$4</f>
        <v>975</v>
      </c>
      <c r="E34" s="36" t="n">
        <f aca="false">C34*$D$4</f>
        <v>975</v>
      </c>
      <c r="F34" s="37" t="n">
        <f aca="false">D34+E34</f>
        <v>1950</v>
      </c>
      <c r="G34" s="38" t="n">
        <f aca="false">C34*$F$4</f>
        <v>4550</v>
      </c>
      <c r="H34" s="39" t="n">
        <f aca="false">$B$4</f>
        <v>0.15</v>
      </c>
      <c r="I34" s="39" t="n">
        <f aca="false">$D$4</f>
        <v>0.15</v>
      </c>
      <c r="J34" s="39" t="n">
        <f aca="false">$F$4</f>
        <v>0.7</v>
      </c>
    </row>
    <row r="35" customFormat="false" ht="19.5" hidden="false" customHeight="true" outlineLevel="0" collapsed="false">
      <c r="A35" s="33"/>
      <c r="B35" s="34" t="s">
        <v>76</v>
      </c>
      <c r="C35" s="35" t="n">
        <f aca="false">52000/8</f>
        <v>6500</v>
      </c>
      <c r="D35" s="36" t="n">
        <f aca="false">C35*$B$4</f>
        <v>975</v>
      </c>
      <c r="E35" s="36" t="n">
        <f aca="false">C35*$D$4</f>
        <v>975</v>
      </c>
      <c r="F35" s="37" t="n">
        <f aca="false">D35+E35</f>
        <v>1950</v>
      </c>
      <c r="G35" s="38" t="n">
        <f aca="false">C35*$F$4</f>
        <v>4550</v>
      </c>
      <c r="H35" s="40" t="n">
        <f aca="false">$B$4</f>
        <v>0.15</v>
      </c>
      <c r="I35" s="40" t="n">
        <f aca="false">$D$4</f>
        <v>0.15</v>
      </c>
      <c r="J35" s="40" t="n">
        <f aca="false">$F$4</f>
        <v>0.7</v>
      </c>
    </row>
    <row r="36" customFormat="false" ht="21.75" hidden="false" customHeight="true" outlineLevel="0" collapsed="false">
      <c r="A36" s="41" t="s">
        <v>77</v>
      </c>
      <c r="B36" s="42" t="s">
        <v>78</v>
      </c>
      <c r="C36" s="43" t="n">
        <f aca="false">SUM(C28:C35)</f>
        <v>52000</v>
      </c>
      <c r="D36" s="43" t="n">
        <f aca="false">SUM(D28:D35)</f>
        <v>7800</v>
      </c>
      <c r="E36" s="43" t="n">
        <f aca="false">SUM(E28:E35)</f>
        <v>7800</v>
      </c>
      <c r="F36" s="43" t="n">
        <f aca="false">SUM(F28:F35)</f>
        <v>15600</v>
      </c>
      <c r="G36" s="43" t="n">
        <f aca="false">SUM(G28:G35)</f>
        <v>36400</v>
      </c>
      <c r="H36" s="44" t="n">
        <f aca="false">$B$4</f>
        <v>0.15</v>
      </c>
      <c r="I36" s="44" t="n">
        <f aca="false">$D$4</f>
        <v>0.15</v>
      </c>
      <c r="J36" s="44" t="n">
        <f aca="false">$F$4</f>
        <v>0.7</v>
      </c>
    </row>
    <row r="38" customFormat="false" ht="19.5" hidden="false" customHeight="true" outlineLevel="0" collapsed="false">
      <c r="A38" s="33" t="s">
        <v>18</v>
      </c>
      <c r="B38" s="34" t="s">
        <v>79</v>
      </c>
      <c r="C38" s="35" t="n">
        <f aca="false">30000/10</f>
        <v>3000</v>
      </c>
      <c r="D38" s="36" t="n">
        <f aca="false">C38*$B$4</f>
        <v>450</v>
      </c>
      <c r="E38" s="36" t="n">
        <f aca="false">C38*$D$4</f>
        <v>450</v>
      </c>
      <c r="F38" s="37" t="n">
        <f aca="false">D38+E38</f>
        <v>900</v>
      </c>
      <c r="G38" s="38" t="n">
        <f aca="false">C38*$F$4</f>
        <v>2100</v>
      </c>
      <c r="H38" s="39" t="n">
        <f aca="false">$B$4</f>
        <v>0.15</v>
      </c>
      <c r="I38" s="39" t="n">
        <f aca="false">$D$4</f>
        <v>0.15</v>
      </c>
      <c r="J38" s="39" t="n">
        <f aca="false">$F$4</f>
        <v>0.7</v>
      </c>
    </row>
    <row r="39" customFormat="false" ht="19.5" hidden="false" customHeight="true" outlineLevel="0" collapsed="false">
      <c r="A39" s="33"/>
      <c r="B39" s="34" t="s">
        <v>80</v>
      </c>
      <c r="C39" s="35" t="n">
        <f aca="false">30000/10</f>
        <v>3000</v>
      </c>
      <c r="D39" s="36" t="n">
        <f aca="false">C39*$B$4</f>
        <v>450</v>
      </c>
      <c r="E39" s="36" t="n">
        <f aca="false">C39*$D$4</f>
        <v>450</v>
      </c>
      <c r="F39" s="37" t="n">
        <f aca="false">D39+E39</f>
        <v>900</v>
      </c>
      <c r="G39" s="38" t="n">
        <f aca="false">C39*$F$4</f>
        <v>2100</v>
      </c>
      <c r="H39" s="40" t="n">
        <f aca="false">$B$4</f>
        <v>0.15</v>
      </c>
      <c r="I39" s="40" t="n">
        <f aca="false">$D$4</f>
        <v>0.15</v>
      </c>
      <c r="J39" s="40" t="n">
        <f aca="false">$F$4</f>
        <v>0.7</v>
      </c>
    </row>
    <row r="40" customFormat="false" ht="19.5" hidden="false" customHeight="true" outlineLevel="0" collapsed="false">
      <c r="A40" s="33"/>
      <c r="B40" s="34" t="s">
        <v>81</v>
      </c>
      <c r="C40" s="35" t="n">
        <f aca="false">30000/10</f>
        <v>3000</v>
      </c>
      <c r="D40" s="36" t="n">
        <f aca="false">C40*$B$4</f>
        <v>450</v>
      </c>
      <c r="E40" s="36" t="n">
        <f aca="false">C40*$D$4</f>
        <v>450</v>
      </c>
      <c r="F40" s="37" t="n">
        <f aca="false">D40+E40</f>
        <v>900</v>
      </c>
      <c r="G40" s="38" t="n">
        <f aca="false">C40*$F$4</f>
        <v>2100</v>
      </c>
      <c r="H40" s="39" t="n">
        <f aca="false">$B$4</f>
        <v>0.15</v>
      </c>
      <c r="I40" s="39" t="n">
        <f aca="false">$D$4</f>
        <v>0.15</v>
      </c>
      <c r="J40" s="39" t="n">
        <f aca="false">$F$4</f>
        <v>0.7</v>
      </c>
    </row>
    <row r="41" customFormat="false" ht="19.5" hidden="false" customHeight="true" outlineLevel="0" collapsed="false">
      <c r="A41" s="33"/>
      <c r="B41" s="34" t="s">
        <v>82</v>
      </c>
      <c r="C41" s="35" t="n">
        <f aca="false">30000/10</f>
        <v>3000</v>
      </c>
      <c r="D41" s="36" t="n">
        <f aca="false">C41*$B$4</f>
        <v>450</v>
      </c>
      <c r="E41" s="36" t="n">
        <f aca="false">C41*$D$4</f>
        <v>450</v>
      </c>
      <c r="F41" s="37" t="n">
        <f aca="false">D41+E41</f>
        <v>900</v>
      </c>
      <c r="G41" s="38" t="n">
        <f aca="false">C41*$F$4</f>
        <v>2100</v>
      </c>
      <c r="H41" s="40" t="n">
        <f aca="false">$B$4</f>
        <v>0.15</v>
      </c>
      <c r="I41" s="40" t="n">
        <f aca="false">$D$4</f>
        <v>0.15</v>
      </c>
      <c r="J41" s="40" t="n">
        <f aca="false">$F$4</f>
        <v>0.7</v>
      </c>
    </row>
    <row r="42" customFormat="false" ht="19.5" hidden="false" customHeight="true" outlineLevel="0" collapsed="false">
      <c r="A42" s="33"/>
      <c r="B42" s="34" t="s">
        <v>83</v>
      </c>
      <c r="C42" s="35" t="n">
        <f aca="false">30000/10</f>
        <v>3000</v>
      </c>
      <c r="D42" s="36" t="n">
        <f aca="false">C42*$B$4</f>
        <v>450</v>
      </c>
      <c r="E42" s="36" t="n">
        <f aca="false">C42*$D$4</f>
        <v>450</v>
      </c>
      <c r="F42" s="37" t="n">
        <f aca="false">D42+E42</f>
        <v>900</v>
      </c>
      <c r="G42" s="38" t="n">
        <f aca="false">C42*$F$4</f>
        <v>2100</v>
      </c>
      <c r="H42" s="39" t="n">
        <f aca="false">$B$4</f>
        <v>0.15</v>
      </c>
      <c r="I42" s="39" t="n">
        <f aca="false">$D$4</f>
        <v>0.15</v>
      </c>
      <c r="J42" s="39" t="n">
        <f aca="false">$F$4</f>
        <v>0.7</v>
      </c>
    </row>
    <row r="43" customFormat="false" ht="19.5" hidden="false" customHeight="true" outlineLevel="0" collapsed="false">
      <c r="A43" s="33"/>
      <c r="B43" s="34" t="s">
        <v>84</v>
      </c>
      <c r="C43" s="35" t="n">
        <f aca="false">30000/10</f>
        <v>3000</v>
      </c>
      <c r="D43" s="36" t="n">
        <f aca="false">C43*$B$4</f>
        <v>450</v>
      </c>
      <c r="E43" s="36" t="n">
        <f aca="false">C43*$D$4</f>
        <v>450</v>
      </c>
      <c r="F43" s="37" t="n">
        <f aca="false">D43+E43</f>
        <v>900</v>
      </c>
      <c r="G43" s="38" t="n">
        <f aca="false">C43*$F$4</f>
        <v>2100</v>
      </c>
      <c r="H43" s="40" t="n">
        <f aca="false">$B$4</f>
        <v>0.15</v>
      </c>
      <c r="I43" s="40" t="n">
        <f aca="false">$D$4</f>
        <v>0.15</v>
      </c>
      <c r="J43" s="40" t="n">
        <f aca="false">$F$4</f>
        <v>0.7</v>
      </c>
    </row>
    <row r="44" customFormat="false" ht="19.5" hidden="false" customHeight="true" outlineLevel="0" collapsed="false">
      <c r="A44" s="33"/>
      <c r="B44" s="34" t="s">
        <v>85</v>
      </c>
      <c r="C44" s="35" t="n">
        <f aca="false">30000/10</f>
        <v>3000</v>
      </c>
      <c r="D44" s="36" t="n">
        <f aca="false">C44*$B$4</f>
        <v>450</v>
      </c>
      <c r="E44" s="36" t="n">
        <f aca="false">C44*$D$4</f>
        <v>450</v>
      </c>
      <c r="F44" s="37" t="n">
        <f aca="false">D44+E44</f>
        <v>900</v>
      </c>
      <c r="G44" s="38" t="n">
        <f aca="false">C44*$F$4</f>
        <v>2100</v>
      </c>
      <c r="H44" s="39" t="n">
        <f aca="false">$B$4</f>
        <v>0.15</v>
      </c>
      <c r="I44" s="39" t="n">
        <f aca="false">$D$4</f>
        <v>0.15</v>
      </c>
      <c r="J44" s="39" t="n">
        <f aca="false">$F$4</f>
        <v>0.7</v>
      </c>
    </row>
    <row r="45" customFormat="false" ht="19.5" hidden="false" customHeight="true" outlineLevel="0" collapsed="false">
      <c r="A45" s="33"/>
      <c r="B45" s="34" t="s">
        <v>86</v>
      </c>
      <c r="C45" s="35" t="n">
        <f aca="false">30000/10</f>
        <v>3000</v>
      </c>
      <c r="D45" s="36" t="n">
        <f aca="false">C45*$B$4</f>
        <v>450</v>
      </c>
      <c r="E45" s="36" t="n">
        <f aca="false">C45*$D$4</f>
        <v>450</v>
      </c>
      <c r="F45" s="37" t="n">
        <f aca="false">D45+E45</f>
        <v>900</v>
      </c>
      <c r="G45" s="38" t="n">
        <f aca="false">C45*$F$4</f>
        <v>2100</v>
      </c>
      <c r="H45" s="40" t="n">
        <f aca="false">$B$4</f>
        <v>0.15</v>
      </c>
      <c r="I45" s="40" t="n">
        <f aca="false">$D$4</f>
        <v>0.15</v>
      </c>
      <c r="J45" s="40" t="n">
        <f aca="false">$F$4</f>
        <v>0.7</v>
      </c>
    </row>
    <row r="46" customFormat="false" ht="19.5" hidden="false" customHeight="true" outlineLevel="0" collapsed="false">
      <c r="A46" s="33"/>
      <c r="B46" s="34" t="s">
        <v>87</v>
      </c>
      <c r="C46" s="35" t="n">
        <f aca="false">30000/10</f>
        <v>3000</v>
      </c>
      <c r="D46" s="36" t="n">
        <f aca="false">C46*$B$4</f>
        <v>450</v>
      </c>
      <c r="E46" s="36" t="n">
        <f aca="false">C46*$D$4</f>
        <v>450</v>
      </c>
      <c r="F46" s="37" t="n">
        <f aca="false">D46+E46</f>
        <v>900</v>
      </c>
      <c r="G46" s="38" t="n">
        <f aca="false">C46*$F$4</f>
        <v>2100</v>
      </c>
      <c r="H46" s="39" t="n">
        <f aca="false">$B$4</f>
        <v>0.15</v>
      </c>
      <c r="I46" s="39" t="n">
        <f aca="false">$D$4</f>
        <v>0.15</v>
      </c>
      <c r="J46" s="39" t="n">
        <f aca="false">$F$4</f>
        <v>0.7</v>
      </c>
    </row>
    <row r="47" customFormat="false" ht="19.5" hidden="false" customHeight="true" outlineLevel="0" collapsed="false">
      <c r="A47" s="33"/>
      <c r="B47" s="34" t="s">
        <v>88</v>
      </c>
      <c r="C47" s="35" t="n">
        <f aca="false">30000/10</f>
        <v>3000</v>
      </c>
      <c r="D47" s="36" t="n">
        <f aca="false">C47*$B$4</f>
        <v>450</v>
      </c>
      <c r="E47" s="36" t="n">
        <f aca="false">C47*$D$4</f>
        <v>450</v>
      </c>
      <c r="F47" s="37" t="n">
        <f aca="false">D47+E47</f>
        <v>900</v>
      </c>
      <c r="G47" s="38" t="n">
        <f aca="false">C47*$F$4</f>
        <v>2100</v>
      </c>
      <c r="H47" s="40" t="n">
        <f aca="false">$B$4</f>
        <v>0.15</v>
      </c>
      <c r="I47" s="40" t="n">
        <f aca="false">$D$4</f>
        <v>0.15</v>
      </c>
      <c r="J47" s="40" t="n">
        <f aca="false">$F$4</f>
        <v>0.7</v>
      </c>
    </row>
    <row r="48" customFormat="false" ht="21.75" hidden="false" customHeight="true" outlineLevel="0" collapsed="false">
      <c r="A48" s="41" t="s">
        <v>89</v>
      </c>
      <c r="B48" s="42" t="s">
        <v>90</v>
      </c>
      <c r="C48" s="43" t="n">
        <f aca="false">SUM(C38:C47)</f>
        <v>30000</v>
      </c>
      <c r="D48" s="43" t="n">
        <f aca="false">SUM(D38:D47)</f>
        <v>4500</v>
      </c>
      <c r="E48" s="43" t="n">
        <f aca="false">SUM(E38:E47)</f>
        <v>4500</v>
      </c>
      <c r="F48" s="43" t="n">
        <f aca="false">SUM(F38:F47)</f>
        <v>9000</v>
      </c>
      <c r="G48" s="43" t="n">
        <f aca="false">SUM(G38:G47)</f>
        <v>21000</v>
      </c>
      <c r="H48" s="44" t="n">
        <f aca="false">$B$4</f>
        <v>0.15</v>
      </c>
      <c r="I48" s="44" t="n">
        <f aca="false">$D$4</f>
        <v>0.15</v>
      </c>
      <c r="J48" s="44" t="n">
        <f aca="false">$F$4</f>
        <v>0.7</v>
      </c>
    </row>
    <row r="50" customFormat="false" ht="19.5" hidden="false" customHeight="true" outlineLevel="0" collapsed="false">
      <c r="A50" s="33" t="s">
        <v>19</v>
      </c>
      <c r="B50" s="34" t="s">
        <v>91</v>
      </c>
      <c r="C50" s="35" t="n">
        <f aca="false">30000/8</f>
        <v>3750</v>
      </c>
      <c r="D50" s="36" t="n">
        <f aca="false">C50*$B$4</f>
        <v>562.5</v>
      </c>
      <c r="E50" s="36" t="n">
        <f aca="false">C50*$D$4</f>
        <v>562.5</v>
      </c>
      <c r="F50" s="37" t="n">
        <f aca="false">D50+E50</f>
        <v>1125</v>
      </c>
      <c r="G50" s="38" t="n">
        <f aca="false">C50*$F$4</f>
        <v>2625</v>
      </c>
      <c r="H50" s="39" t="n">
        <f aca="false">$B$4</f>
        <v>0.15</v>
      </c>
      <c r="I50" s="39" t="n">
        <f aca="false">$D$4</f>
        <v>0.15</v>
      </c>
      <c r="J50" s="39" t="n">
        <f aca="false">$F$4</f>
        <v>0.7</v>
      </c>
    </row>
    <row r="51" customFormat="false" ht="19.5" hidden="false" customHeight="true" outlineLevel="0" collapsed="false">
      <c r="A51" s="33"/>
      <c r="B51" s="34" t="s">
        <v>92</v>
      </c>
      <c r="C51" s="35" t="n">
        <f aca="false">30000/8</f>
        <v>3750</v>
      </c>
      <c r="D51" s="36" t="n">
        <f aca="false">C51*$B$4</f>
        <v>562.5</v>
      </c>
      <c r="E51" s="36" t="n">
        <f aca="false">C51*$D$4</f>
        <v>562.5</v>
      </c>
      <c r="F51" s="37" t="n">
        <f aca="false">D51+E51</f>
        <v>1125</v>
      </c>
      <c r="G51" s="38" t="n">
        <f aca="false">C51*$F$4</f>
        <v>2625</v>
      </c>
      <c r="H51" s="40" t="n">
        <f aca="false">$B$4</f>
        <v>0.15</v>
      </c>
      <c r="I51" s="40" t="n">
        <f aca="false">$D$4</f>
        <v>0.15</v>
      </c>
      <c r="J51" s="40" t="n">
        <f aca="false">$F$4</f>
        <v>0.7</v>
      </c>
    </row>
    <row r="52" customFormat="false" ht="19.5" hidden="false" customHeight="true" outlineLevel="0" collapsed="false">
      <c r="A52" s="33"/>
      <c r="B52" s="34" t="s">
        <v>93</v>
      </c>
      <c r="C52" s="35" t="n">
        <f aca="false">30000/8</f>
        <v>3750</v>
      </c>
      <c r="D52" s="36" t="n">
        <f aca="false">C52*$B$4</f>
        <v>562.5</v>
      </c>
      <c r="E52" s="36" t="n">
        <f aca="false">C52*$D$4</f>
        <v>562.5</v>
      </c>
      <c r="F52" s="37" t="n">
        <f aca="false">D52+E52</f>
        <v>1125</v>
      </c>
      <c r="G52" s="38" t="n">
        <f aca="false">C52*$F$4</f>
        <v>2625</v>
      </c>
      <c r="H52" s="39" t="n">
        <f aca="false">$B$4</f>
        <v>0.15</v>
      </c>
      <c r="I52" s="39" t="n">
        <f aca="false">$D$4</f>
        <v>0.15</v>
      </c>
      <c r="J52" s="39" t="n">
        <f aca="false">$F$4</f>
        <v>0.7</v>
      </c>
    </row>
    <row r="53" customFormat="false" ht="19.5" hidden="false" customHeight="true" outlineLevel="0" collapsed="false">
      <c r="A53" s="33"/>
      <c r="B53" s="34" t="s">
        <v>94</v>
      </c>
      <c r="C53" s="35" t="n">
        <f aca="false">30000/8</f>
        <v>3750</v>
      </c>
      <c r="D53" s="36" t="n">
        <f aca="false">C53*$B$4</f>
        <v>562.5</v>
      </c>
      <c r="E53" s="36" t="n">
        <f aca="false">C53*$D$4</f>
        <v>562.5</v>
      </c>
      <c r="F53" s="37" t="n">
        <f aca="false">D53+E53</f>
        <v>1125</v>
      </c>
      <c r="G53" s="38" t="n">
        <f aca="false">C53*$F$4</f>
        <v>2625</v>
      </c>
      <c r="H53" s="40" t="n">
        <f aca="false">$B$4</f>
        <v>0.15</v>
      </c>
      <c r="I53" s="40" t="n">
        <f aca="false">$D$4</f>
        <v>0.15</v>
      </c>
      <c r="J53" s="40" t="n">
        <f aca="false">$F$4</f>
        <v>0.7</v>
      </c>
    </row>
    <row r="54" customFormat="false" ht="19.5" hidden="false" customHeight="true" outlineLevel="0" collapsed="false">
      <c r="A54" s="33"/>
      <c r="B54" s="34" t="s">
        <v>95</v>
      </c>
      <c r="C54" s="35" t="n">
        <f aca="false">30000/8</f>
        <v>3750</v>
      </c>
      <c r="D54" s="36" t="n">
        <f aca="false">C54*$B$4</f>
        <v>562.5</v>
      </c>
      <c r="E54" s="36" t="n">
        <f aca="false">C54*$D$4</f>
        <v>562.5</v>
      </c>
      <c r="F54" s="37" t="n">
        <f aca="false">D54+E54</f>
        <v>1125</v>
      </c>
      <c r="G54" s="38" t="n">
        <f aca="false">C54*$F$4</f>
        <v>2625</v>
      </c>
      <c r="H54" s="39" t="n">
        <f aca="false">$B$4</f>
        <v>0.15</v>
      </c>
      <c r="I54" s="39" t="n">
        <f aca="false">$D$4</f>
        <v>0.15</v>
      </c>
      <c r="J54" s="39" t="n">
        <f aca="false">$F$4</f>
        <v>0.7</v>
      </c>
    </row>
    <row r="55" customFormat="false" ht="19.5" hidden="false" customHeight="true" outlineLevel="0" collapsed="false">
      <c r="A55" s="33"/>
      <c r="B55" s="34" t="s">
        <v>96</v>
      </c>
      <c r="C55" s="35" t="n">
        <f aca="false">30000/8</f>
        <v>3750</v>
      </c>
      <c r="D55" s="36" t="n">
        <f aca="false">C55*$B$4</f>
        <v>562.5</v>
      </c>
      <c r="E55" s="36" t="n">
        <f aca="false">C55*$D$4</f>
        <v>562.5</v>
      </c>
      <c r="F55" s="37" t="n">
        <f aca="false">D55+E55</f>
        <v>1125</v>
      </c>
      <c r="G55" s="38" t="n">
        <f aca="false">C55*$F$4</f>
        <v>2625</v>
      </c>
      <c r="H55" s="40" t="n">
        <f aca="false">$B$4</f>
        <v>0.15</v>
      </c>
      <c r="I55" s="40" t="n">
        <f aca="false">$D$4</f>
        <v>0.15</v>
      </c>
      <c r="J55" s="40" t="n">
        <f aca="false">$F$4</f>
        <v>0.7</v>
      </c>
    </row>
    <row r="56" customFormat="false" ht="19.5" hidden="false" customHeight="true" outlineLevel="0" collapsed="false">
      <c r="A56" s="33"/>
      <c r="B56" s="34" t="s">
        <v>97</v>
      </c>
      <c r="C56" s="35" t="n">
        <f aca="false">30000/8</f>
        <v>3750</v>
      </c>
      <c r="D56" s="36" t="n">
        <f aca="false">C56*$B$4</f>
        <v>562.5</v>
      </c>
      <c r="E56" s="36" t="n">
        <f aca="false">C56*$D$4</f>
        <v>562.5</v>
      </c>
      <c r="F56" s="37" t="n">
        <f aca="false">D56+E56</f>
        <v>1125</v>
      </c>
      <c r="G56" s="38" t="n">
        <f aca="false">C56*$F$4</f>
        <v>2625</v>
      </c>
      <c r="H56" s="39" t="n">
        <f aca="false">$B$4</f>
        <v>0.15</v>
      </c>
      <c r="I56" s="39" t="n">
        <f aca="false">$D$4</f>
        <v>0.15</v>
      </c>
      <c r="J56" s="39" t="n">
        <f aca="false">$F$4</f>
        <v>0.7</v>
      </c>
    </row>
    <row r="57" customFormat="false" ht="19.5" hidden="false" customHeight="true" outlineLevel="0" collapsed="false">
      <c r="A57" s="33"/>
      <c r="B57" s="34" t="s">
        <v>98</v>
      </c>
      <c r="C57" s="35" t="n">
        <f aca="false">30000/8</f>
        <v>3750</v>
      </c>
      <c r="D57" s="36" t="n">
        <f aca="false">C57*$B$4</f>
        <v>562.5</v>
      </c>
      <c r="E57" s="36" t="n">
        <f aca="false">C57*$D$4</f>
        <v>562.5</v>
      </c>
      <c r="F57" s="37" t="n">
        <f aca="false">D57+E57</f>
        <v>1125</v>
      </c>
      <c r="G57" s="38" t="n">
        <f aca="false">C57*$F$4</f>
        <v>2625</v>
      </c>
      <c r="H57" s="40" t="n">
        <f aca="false">$B$4</f>
        <v>0.15</v>
      </c>
      <c r="I57" s="40" t="n">
        <f aca="false">$D$4</f>
        <v>0.15</v>
      </c>
      <c r="J57" s="40" t="n">
        <f aca="false">$F$4</f>
        <v>0.7</v>
      </c>
    </row>
    <row r="58" customFormat="false" ht="21.75" hidden="false" customHeight="true" outlineLevel="0" collapsed="false">
      <c r="A58" s="41" t="s">
        <v>99</v>
      </c>
      <c r="B58" s="42" t="s">
        <v>78</v>
      </c>
      <c r="C58" s="43" t="n">
        <f aca="false">SUM(C50:C57)</f>
        <v>30000</v>
      </c>
      <c r="D58" s="43" t="n">
        <f aca="false">SUM(D50:D57)</f>
        <v>4500</v>
      </c>
      <c r="E58" s="43" t="n">
        <f aca="false">SUM(E50:E57)</f>
        <v>4500</v>
      </c>
      <c r="F58" s="43" t="n">
        <f aca="false">SUM(F50:F57)</f>
        <v>9000</v>
      </c>
      <c r="G58" s="43" t="n">
        <f aca="false">SUM(G50:G57)</f>
        <v>21000</v>
      </c>
      <c r="H58" s="44" t="n">
        <f aca="false">$B$4</f>
        <v>0.15</v>
      </c>
      <c r="I58" s="44" t="n">
        <f aca="false">$D$4</f>
        <v>0.15</v>
      </c>
      <c r="J58" s="44" t="n">
        <f aca="false">$F$4</f>
        <v>0.7</v>
      </c>
    </row>
    <row r="60" customFormat="false" ht="19.5" hidden="false" customHeight="true" outlineLevel="0" collapsed="false">
      <c r="A60" s="33" t="s">
        <v>20</v>
      </c>
      <c r="B60" s="34" t="s">
        <v>100</v>
      </c>
      <c r="C60" s="35" t="n">
        <f aca="false">31000/6</f>
        <v>5166.66666666667</v>
      </c>
      <c r="D60" s="36" t="n">
        <f aca="false">C60*$B$4</f>
        <v>775</v>
      </c>
      <c r="E60" s="36" t="n">
        <f aca="false">C60*$D$4</f>
        <v>775</v>
      </c>
      <c r="F60" s="37" t="n">
        <f aca="false">D60+E60</f>
        <v>1550</v>
      </c>
      <c r="G60" s="38" t="n">
        <f aca="false">C60*$F$4</f>
        <v>3616.66666666667</v>
      </c>
      <c r="H60" s="39" t="n">
        <f aca="false">$B$4</f>
        <v>0.15</v>
      </c>
      <c r="I60" s="39" t="n">
        <f aca="false">$D$4</f>
        <v>0.15</v>
      </c>
      <c r="J60" s="39" t="n">
        <f aca="false">$F$4</f>
        <v>0.7</v>
      </c>
    </row>
    <row r="61" customFormat="false" ht="19.5" hidden="false" customHeight="true" outlineLevel="0" collapsed="false">
      <c r="A61" s="33"/>
      <c r="B61" s="34" t="s">
        <v>101</v>
      </c>
      <c r="C61" s="35" t="n">
        <f aca="false">31000/6</f>
        <v>5166.66666666667</v>
      </c>
      <c r="D61" s="36" t="n">
        <f aca="false">C61*$B$4</f>
        <v>775</v>
      </c>
      <c r="E61" s="36" t="n">
        <f aca="false">C61*$D$4</f>
        <v>775</v>
      </c>
      <c r="F61" s="37" t="n">
        <f aca="false">D61+E61</f>
        <v>1550</v>
      </c>
      <c r="G61" s="38" t="n">
        <f aca="false">C61*$F$4</f>
        <v>3616.66666666667</v>
      </c>
      <c r="H61" s="40" t="n">
        <f aca="false">$B$4</f>
        <v>0.15</v>
      </c>
      <c r="I61" s="40" t="n">
        <f aca="false">$D$4</f>
        <v>0.15</v>
      </c>
      <c r="J61" s="40" t="n">
        <f aca="false">$F$4</f>
        <v>0.7</v>
      </c>
    </row>
    <row r="62" customFormat="false" ht="19.5" hidden="false" customHeight="true" outlineLevel="0" collapsed="false">
      <c r="A62" s="33"/>
      <c r="B62" s="34" t="s">
        <v>102</v>
      </c>
      <c r="C62" s="35" t="n">
        <f aca="false">31000/6</f>
        <v>5166.66666666667</v>
      </c>
      <c r="D62" s="36" t="n">
        <f aca="false">C62*$B$4</f>
        <v>775</v>
      </c>
      <c r="E62" s="36" t="n">
        <f aca="false">C62*$D$4</f>
        <v>775</v>
      </c>
      <c r="F62" s="37" t="n">
        <f aca="false">D62+E62</f>
        <v>1550</v>
      </c>
      <c r="G62" s="38" t="n">
        <f aca="false">C62*$F$4</f>
        <v>3616.66666666667</v>
      </c>
      <c r="H62" s="39" t="n">
        <f aca="false">$B$4</f>
        <v>0.15</v>
      </c>
      <c r="I62" s="39" t="n">
        <f aca="false">$D$4</f>
        <v>0.15</v>
      </c>
      <c r="J62" s="39" t="n">
        <f aca="false">$F$4</f>
        <v>0.7</v>
      </c>
    </row>
    <row r="63" customFormat="false" ht="19.5" hidden="false" customHeight="true" outlineLevel="0" collapsed="false">
      <c r="A63" s="33"/>
      <c r="B63" s="34" t="s">
        <v>103</v>
      </c>
      <c r="C63" s="35" t="n">
        <f aca="false">31000/6</f>
        <v>5166.66666666667</v>
      </c>
      <c r="D63" s="36" t="n">
        <f aca="false">C63*$B$4</f>
        <v>775</v>
      </c>
      <c r="E63" s="36" t="n">
        <f aca="false">C63*$D$4</f>
        <v>775</v>
      </c>
      <c r="F63" s="37" t="n">
        <f aca="false">D63+E63</f>
        <v>1550</v>
      </c>
      <c r="G63" s="38" t="n">
        <f aca="false">C63*$F$4</f>
        <v>3616.66666666667</v>
      </c>
      <c r="H63" s="40" t="n">
        <f aca="false">$B$4</f>
        <v>0.15</v>
      </c>
      <c r="I63" s="40" t="n">
        <f aca="false">$D$4</f>
        <v>0.15</v>
      </c>
      <c r="J63" s="40" t="n">
        <f aca="false">$F$4</f>
        <v>0.7</v>
      </c>
    </row>
    <row r="64" customFormat="false" ht="19.5" hidden="false" customHeight="true" outlineLevel="0" collapsed="false">
      <c r="A64" s="33"/>
      <c r="B64" s="34" t="s">
        <v>104</v>
      </c>
      <c r="C64" s="35" t="n">
        <f aca="false">31000/6</f>
        <v>5166.66666666667</v>
      </c>
      <c r="D64" s="36" t="n">
        <f aca="false">C64*$B$4</f>
        <v>775</v>
      </c>
      <c r="E64" s="36" t="n">
        <f aca="false">C64*$D$4</f>
        <v>775</v>
      </c>
      <c r="F64" s="37" t="n">
        <f aca="false">D64+E64</f>
        <v>1550</v>
      </c>
      <c r="G64" s="38" t="n">
        <f aca="false">C64*$F$4</f>
        <v>3616.66666666667</v>
      </c>
      <c r="H64" s="39" t="n">
        <f aca="false">$B$4</f>
        <v>0.15</v>
      </c>
      <c r="I64" s="39" t="n">
        <f aca="false">$D$4</f>
        <v>0.15</v>
      </c>
      <c r="J64" s="39" t="n">
        <f aca="false">$F$4</f>
        <v>0.7</v>
      </c>
    </row>
    <row r="65" customFormat="false" ht="19.5" hidden="false" customHeight="true" outlineLevel="0" collapsed="false">
      <c r="A65" s="33"/>
      <c r="B65" s="34" t="s">
        <v>105</v>
      </c>
      <c r="C65" s="35" t="n">
        <f aca="false">31000/6</f>
        <v>5166.66666666667</v>
      </c>
      <c r="D65" s="36" t="n">
        <f aca="false">C65*$B$4</f>
        <v>775</v>
      </c>
      <c r="E65" s="36" t="n">
        <f aca="false">C65*$D$4</f>
        <v>775</v>
      </c>
      <c r="F65" s="37" t="n">
        <f aca="false">D65+E65</f>
        <v>1550</v>
      </c>
      <c r="G65" s="38" t="n">
        <f aca="false">C65*$F$4</f>
        <v>3616.66666666667</v>
      </c>
      <c r="H65" s="40" t="n">
        <f aca="false">$B$4</f>
        <v>0.15</v>
      </c>
      <c r="I65" s="40" t="n">
        <f aca="false">$D$4</f>
        <v>0.15</v>
      </c>
      <c r="J65" s="40" t="n">
        <f aca="false">$F$4</f>
        <v>0.7</v>
      </c>
    </row>
    <row r="66" customFormat="false" ht="21.75" hidden="false" customHeight="true" outlineLevel="0" collapsed="false">
      <c r="A66" s="41" t="s">
        <v>106</v>
      </c>
      <c r="B66" s="42" t="s">
        <v>107</v>
      </c>
      <c r="C66" s="43" t="n">
        <f aca="false">SUM(C60:C65)</f>
        <v>31000</v>
      </c>
      <c r="D66" s="43" t="n">
        <f aca="false">SUM(D60:D65)</f>
        <v>4650</v>
      </c>
      <c r="E66" s="43" t="n">
        <f aca="false">SUM(E60:E65)</f>
        <v>4650</v>
      </c>
      <c r="F66" s="43" t="n">
        <f aca="false">SUM(F60:F65)</f>
        <v>9300</v>
      </c>
      <c r="G66" s="43" t="n">
        <f aca="false">SUM(G60:G65)</f>
        <v>21700</v>
      </c>
      <c r="H66" s="44" t="n">
        <f aca="false">$B$4</f>
        <v>0.15</v>
      </c>
      <c r="I66" s="44" t="n">
        <f aca="false">$D$4</f>
        <v>0.15</v>
      </c>
      <c r="J66" s="44" t="n">
        <f aca="false">$F$4</f>
        <v>0.7</v>
      </c>
    </row>
    <row r="68" customFormat="false" ht="19.5" hidden="false" customHeight="true" outlineLevel="0" collapsed="false">
      <c r="A68" s="33" t="s">
        <v>21</v>
      </c>
      <c r="B68" s="34" t="s">
        <v>108</v>
      </c>
      <c r="C68" s="35" t="n">
        <f aca="false">10400/3</f>
        <v>3466.66666666667</v>
      </c>
      <c r="D68" s="36" t="n">
        <f aca="false">C68*$B$4</f>
        <v>520</v>
      </c>
      <c r="E68" s="36" t="n">
        <f aca="false">C68*$D$4</f>
        <v>520</v>
      </c>
      <c r="F68" s="37" t="n">
        <f aca="false">D68+E68</f>
        <v>1040</v>
      </c>
      <c r="G68" s="38" t="n">
        <f aca="false">C68*$F$4</f>
        <v>2426.66666666667</v>
      </c>
      <c r="H68" s="39" t="n">
        <f aca="false">$B$4</f>
        <v>0.15</v>
      </c>
      <c r="I68" s="39" t="n">
        <f aca="false">$D$4</f>
        <v>0.15</v>
      </c>
      <c r="J68" s="39" t="n">
        <f aca="false">$F$4</f>
        <v>0.7</v>
      </c>
    </row>
    <row r="69" customFormat="false" ht="19.5" hidden="false" customHeight="true" outlineLevel="0" collapsed="false">
      <c r="A69" s="33"/>
      <c r="B69" s="34" t="s">
        <v>109</v>
      </c>
      <c r="C69" s="35" t="n">
        <f aca="false">10400/3</f>
        <v>3466.66666666667</v>
      </c>
      <c r="D69" s="36" t="n">
        <f aca="false">C69*$B$4</f>
        <v>520</v>
      </c>
      <c r="E69" s="36" t="n">
        <f aca="false">C69*$D$4</f>
        <v>520</v>
      </c>
      <c r="F69" s="37" t="n">
        <f aca="false">D69+E69</f>
        <v>1040</v>
      </c>
      <c r="G69" s="38" t="n">
        <f aca="false">C69*$F$4</f>
        <v>2426.66666666667</v>
      </c>
      <c r="H69" s="40" t="n">
        <f aca="false">$B$4</f>
        <v>0.15</v>
      </c>
      <c r="I69" s="40" t="n">
        <f aca="false">$D$4</f>
        <v>0.15</v>
      </c>
      <c r="J69" s="40" t="n">
        <f aca="false">$F$4</f>
        <v>0.7</v>
      </c>
    </row>
    <row r="70" customFormat="false" ht="19.5" hidden="false" customHeight="true" outlineLevel="0" collapsed="false">
      <c r="A70" s="33"/>
      <c r="B70" s="34" t="s">
        <v>110</v>
      </c>
      <c r="C70" s="35" t="n">
        <f aca="false">10400/3</f>
        <v>3466.66666666667</v>
      </c>
      <c r="D70" s="36" t="n">
        <f aca="false">C70*$B$4</f>
        <v>520</v>
      </c>
      <c r="E70" s="36" t="n">
        <f aca="false">C70*$D$4</f>
        <v>520</v>
      </c>
      <c r="F70" s="37" t="n">
        <f aca="false">D70+E70</f>
        <v>1040</v>
      </c>
      <c r="G70" s="38" t="n">
        <f aca="false">C70*$F$4</f>
        <v>2426.66666666667</v>
      </c>
      <c r="H70" s="39" t="n">
        <f aca="false">$B$4</f>
        <v>0.15</v>
      </c>
      <c r="I70" s="39" t="n">
        <f aca="false">$D$4</f>
        <v>0.15</v>
      </c>
      <c r="J70" s="39" t="n">
        <f aca="false">$F$4</f>
        <v>0.7</v>
      </c>
    </row>
    <row r="71" customFormat="false" ht="21.75" hidden="false" customHeight="true" outlineLevel="0" collapsed="false">
      <c r="A71" s="41" t="s">
        <v>111</v>
      </c>
      <c r="B71" s="42" t="s">
        <v>112</v>
      </c>
      <c r="C71" s="43" t="n">
        <f aca="false">SUM(C68:C70)</f>
        <v>10400</v>
      </c>
      <c r="D71" s="43" t="n">
        <f aca="false">SUM(D68:D70)</f>
        <v>1560</v>
      </c>
      <c r="E71" s="43" t="n">
        <f aca="false">SUM(E68:E70)</f>
        <v>1560</v>
      </c>
      <c r="F71" s="43" t="n">
        <f aca="false">SUM(F68:F70)</f>
        <v>3120</v>
      </c>
      <c r="G71" s="43" t="n">
        <f aca="false">SUM(G68:G70)</f>
        <v>7280</v>
      </c>
      <c r="H71" s="44" t="n">
        <f aca="false">$B$4</f>
        <v>0.15</v>
      </c>
      <c r="I71" s="44" t="n">
        <f aca="false">$D$4</f>
        <v>0.15</v>
      </c>
      <c r="J71" s="44" t="n">
        <f aca="false">$F$4</f>
        <v>0.7</v>
      </c>
    </row>
    <row r="74" customFormat="false" ht="27.75" hidden="false" customHeight="true" outlineLevel="0" collapsed="false">
      <c r="A74" s="45" t="s">
        <v>113</v>
      </c>
      <c r="B74" s="45"/>
      <c r="C74" s="46" t="n">
        <f aca="false">C12+C26+C36+C48+C58+C66+C71</f>
        <v>238400</v>
      </c>
      <c r="D74" s="46" t="n">
        <f aca="false">D12+D26+D36+D48+D58+D66+D71</f>
        <v>35760</v>
      </c>
      <c r="E74" s="46" t="n">
        <f aca="false">E12+E26+E36+E48+E58+E66+E71</f>
        <v>35760</v>
      </c>
      <c r="F74" s="46" t="n">
        <f aca="false">F12+F26+F36+F48+F58+F66+F71</f>
        <v>71520</v>
      </c>
      <c r="G74" s="46" t="n">
        <f aca="false">G12+G26+G36+G48+G58+G66+G71</f>
        <v>166880</v>
      </c>
      <c r="H74" s="47" t="n">
        <f aca="false">$B$4</f>
        <v>0.15</v>
      </c>
      <c r="I74" s="47" t="n">
        <f aca="false">$D$4</f>
        <v>0.15</v>
      </c>
      <c r="J74" s="47" t="n">
        <f aca="false">$F$4</f>
        <v>0.7</v>
      </c>
    </row>
  </sheetData>
  <mergeCells count="10">
    <mergeCell ref="A1:J1"/>
    <mergeCell ref="A2:J2"/>
    <mergeCell ref="A7:A11"/>
    <mergeCell ref="A14:A25"/>
    <mergeCell ref="A28:A35"/>
    <mergeCell ref="A38:A47"/>
    <mergeCell ref="A50:A57"/>
    <mergeCell ref="A60:A65"/>
    <mergeCell ref="A68:A70"/>
    <mergeCell ref="A74:B7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16"/>
    <col collapsed="false" customWidth="true" hidden="false" outlineLevel="0" max="4" min="4" style="1" width="12"/>
    <col collapsed="false" customWidth="true" hidden="false" outlineLevel="0" max="7" min="5" style="1" width="16"/>
    <col collapsed="false" customWidth="true" hidden="false" outlineLevel="0" max="8" min="8" style="1" width="18"/>
  </cols>
  <sheetData>
    <row r="1" customFormat="false" ht="33.75" hidden="false" customHeight="true" outlineLevel="0" collapsed="false">
      <c r="A1" s="30" t="s">
        <v>114</v>
      </c>
      <c r="B1" s="30"/>
      <c r="C1" s="30"/>
      <c r="D1" s="30"/>
      <c r="E1" s="30"/>
      <c r="F1" s="30"/>
      <c r="G1" s="30"/>
      <c r="H1" s="30"/>
    </row>
    <row r="2" customFormat="false" ht="18" hidden="false" customHeight="true" outlineLevel="0" collapsed="false">
      <c r="A2" s="21" t="s">
        <v>115</v>
      </c>
      <c r="B2" s="21"/>
      <c r="C2" s="21"/>
      <c r="D2" s="21"/>
      <c r="E2" s="21"/>
      <c r="F2" s="21"/>
      <c r="G2" s="21"/>
      <c r="H2" s="21"/>
    </row>
    <row r="4" customFormat="false" ht="39.75" hidden="false" customHeight="true" outlineLevel="0" collapsed="false">
      <c r="A4" s="22" t="s">
        <v>6</v>
      </c>
      <c r="B4" s="22" t="s">
        <v>7</v>
      </c>
      <c r="C4" s="22" t="s">
        <v>116</v>
      </c>
      <c r="D4" s="22" t="s">
        <v>117</v>
      </c>
      <c r="E4" s="22" t="s">
        <v>118</v>
      </c>
      <c r="F4" s="22" t="s">
        <v>119</v>
      </c>
      <c r="G4" s="22" t="s">
        <v>120</v>
      </c>
      <c r="H4" s="22" t="s">
        <v>121</v>
      </c>
    </row>
    <row r="5" customFormat="false" ht="21.75" hidden="false" customHeight="true" outlineLevel="0" collapsed="false">
      <c r="A5" s="10" t="s">
        <v>15</v>
      </c>
      <c r="B5" s="48" t="n">
        <f aca="false">'Zone Area Matrix'!B10</f>
        <v>35000</v>
      </c>
      <c r="C5" s="24" t="n">
        <f aca="false">'Zone Area Matrix'!F10</f>
        <v>24500</v>
      </c>
      <c r="D5" s="49" t="n">
        <v>5</v>
      </c>
      <c r="E5" s="50" t="n">
        <f aca="false">B5/D5</f>
        <v>7000</v>
      </c>
      <c r="F5" s="14" t="n">
        <f aca="false">C5/D5</f>
        <v>4900</v>
      </c>
      <c r="G5" s="12" t="n">
        <f aca="false">B5*'Zone Area Matrix'!$B$5/D5</f>
        <v>1050</v>
      </c>
      <c r="H5" s="12" t="n">
        <f aca="false">B5*'Zone Area Matrix'!$B$6/D5</f>
        <v>1050</v>
      </c>
    </row>
    <row r="6" customFormat="false" ht="21.75" hidden="false" customHeight="true" outlineLevel="0" collapsed="false">
      <c r="A6" s="10" t="s">
        <v>16</v>
      </c>
      <c r="B6" s="51" t="n">
        <f aca="false">'Zone Area Matrix'!B11</f>
        <v>50000</v>
      </c>
      <c r="C6" s="24" t="n">
        <f aca="false">'Zone Area Matrix'!F11</f>
        <v>35000</v>
      </c>
      <c r="D6" s="49" t="n">
        <v>12</v>
      </c>
      <c r="E6" s="52" t="n">
        <f aca="false">B6/D6</f>
        <v>4166.66666666667</v>
      </c>
      <c r="F6" s="14" t="n">
        <f aca="false">C6/D6</f>
        <v>2916.66666666667</v>
      </c>
      <c r="G6" s="12" t="n">
        <f aca="false">B6*'Zone Area Matrix'!$B$5/D6</f>
        <v>625</v>
      </c>
      <c r="H6" s="12" t="n">
        <f aca="false">B6*'Zone Area Matrix'!$B$6/D6</f>
        <v>625</v>
      </c>
    </row>
    <row r="7" customFormat="false" ht="21.75" hidden="false" customHeight="true" outlineLevel="0" collapsed="false">
      <c r="A7" s="10" t="s">
        <v>17</v>
      </c>
      <c r="B7" s="48" t="n">
        <f aca="false">'Zone Area Matrix'!B12</f>
        <v>52000</v>
      </c>
      <c r="C7" s="24" t="n">
        <f aca="false">'Zone Area Matrix'!F12</f>
        <v>36400</v>
      </c>
      <c r="D7" s="49" t="n">
        <v>8</v>
      </c>
      <c r="E7" s="50" t="n">
        <f aca="false">B7/D7</f>
        <v>6500</v>
      </c>
      <c r="F7" s="14" t="n">
        <f aca="false">C7/D7</f>
        <v>4550</v>
      </c>
      <c r="G7" s="12" t="n">
        <f aca="false">B7*'Zone Area Matrix'!$B$5/D7</f>
        <v>975</v>
      </c>
      <c r="H7" s="12" t="n">
        <f aca="false">B7*'Zone Area Matrix'!$B$6/D7</f>
        <v>975</v>
      </c>
    </row>
    <row r="8" customFormat="false" ht="21.75" hidden="false" customHeight="true" outlineLevel="0" collapsed="false">
      <c r="A8" s="10" t="s">
        <v>18</v>
      </c>
      <c r="B8" s="51" t="n">
        <f aca="false">'Zone Area Matrix'!B13</f>
        <v>30000</v>
      </c>
      <c r="C8" s="24" t="n">
        <f aca="false">'Zone Area Matrix'!F13</f>
        <v>21000</v>
      </c>
      <c r="D8" s="49" t="n">
        <v>10</v>
      </c>
      <c r="E8" s="52" t="n">
        <f aca="false">B8/D8</f>
        <v>3000</v>
      </c>
      <c r="F8" s="14" t="n">
        <f aca="false">C8/D8</f>
        <v>2100</v>
      </c>
      <c r="G8" s="12" t="n">
        <f aca="false">B8*'Zone Area Matrix'!$B$5/D8</f>
        <v>450</v>
      </c>
      <c r="H8" s="12" t="n">
        <f aca="false">B8*'Zone Area Matrix'!$B$6/D8</f>
        <v>450</v>
      </c>
    </row>
    <row r="9" customFormat="false" ht="21.75" hidden="false" customHeight="true" outlineLevel="0" collapsed="false">
      <c r="A9" s="10" t="s">
        <v>19</v>
      </c>
      <c r="B9" s="48" t="n">
        <f aca="false">'Zone Area Matrix'!B14</f>
        <v>30000</v>
      </c>
      <c r="C9" s="24" t="n">
        <f aca="false">'Zone Area Matrix'!F14</f>
        <v>21000</v>
      </c>
      <c r="D9" s="49" t="n">
        <v>8</v>
      </c>
      <c r="E9" s="50" t="n">
        <f aca="false">B9/D9</f>
        <v>3750</v>
      </c>
      <c r="F9" s="14" t="n">
        <f aca="false">C9/D9</f>
        <v>2625</v>
      </c>
      <c r="G9" s="12" t="n">
        <f aca="false">B9*'Zone Area Matrix'!$B$5/D9</f>
        <v>562.5</v>
      </c>
      <c r="H9" s="12" t="n">
        <f aca="false">B9*'Zone Area Matrix'!$B$6/D9</f>
        <v>562.5</v>
      </c>
    </row>
    <row r="10" customFormat="false" ht="21.75" hidden="false" customHeight="true" outlineLevel="0" collapsed="false">
      <c r="A10" s="10" t="s">
        <v>20</v>
      </c>
      <c r="B10" s="51" t="n">
        <f aca="false">'Zone Area Matrix'!B15</f>
        <v>31000</v>
      </c>
      <c r="C10" s="24" t="n">
        <f aca="false">'Zone Area Matrix'!F15</f>
        <v>21700</v>
      </c>
      <c r="D10" s="49" t="n">
        <v>6</v>
      </c>
      <c r="E10" s="52" t="n">
        <f aca="false">B10/D10</f>
        <v>5166.66666666667</v>
      </c>
      <c r="F10" s="14" t="n">
        <f aca="false">C10/D10</f>
        <v>3616.66666666667</v>
      </c>
      <c r="G10" s="12" t="n">
        <f aca="false">B10*'Zone Area Matrix'!$B$5/D10</f>
        <v>775</v>
      </c>
      <c r="H10" s="12" t="n">
        <f aca="false">B10*'Zone Area Matrix'!$B$6/D10</f>
        <v>775</v>
      </c>
    </row>
    <row r="11" customFormat="false" ht="21.75" hidden="false" customHeight="true" outlineLevel="0" collapsed="false">
      <c r="A11" s="10" t="s">
        <v>21</v>
      </c>
      <c r="B11" s="48" t="n">
        <f aca="false">'Zone Area Matrix'!B16</f>
        <v>10400</v>
      </c>
      <c r="C11" s="24" t="n">
        <f aca="false">'Zone Area Matrix'!F16</f>
        <v>7280</v>
      </c>
      <c r="D11" s="49" t="n">
        <v>3</v>
      </c>
      <c r="E11" s="50" t="n">
        <f aca="false">B11/D11</f>
        <v>3466.66666666667</v>
      </c>
      <c r="F11" s="14" t="n">
        <f aca="false">C11/D11</f>
        <v>2426.66666666667</v>
      </c>
      <c r="G11" s="12" t="n">
        <f aca="false">B11*'Zone Area Matrix'!$B$5/D11</f>
        <v>520</v>
      </c>
      <c r="H11" s="12" t="n">
        <f aca="false">B11*'Zone Area Matrix'!$B$6/D11</f>
        <v>520</v>
      </c>
    </row>
    <row r="12" customFormat="false" ht="25.5" hidden="false" customHeight="true" outlineLevel="0" collapsed="false">
      <c r="A12" s="53" t="s">
        <v>122</v>
      </c>
      <c r="B12" s="18" t="n">
        <f aca="false">SUM(B5:B11)</f>
        <v>238400</v>
      </c>
      <c r="C12" s="18" t="n">
        <f aca="false">SUM(C5:C11)</f>
        <v>166880</v>
      </c>
      <c r="D12" s="18" t="n">
        <f aca="false">SUM(D5:D11)</f>
        <v>52</v>
      </c>
      <c r="E12" s="18" t="n">
        <f aca="false">AVERAGE(E5:E11)</f>
        <v>4721.42857142857</v>
      </c>
      <c r="F12" s="18" t="n">
        <f aca="false">AVERAGE(F5:F11)</f>
        <v>3305</v>
      </c>
      <c r="G12" s="18" t="n">
        <f aca="false">AVERAGE(G5:G11)</f>
        <v>708.214285714286</v>
      </c>
      <c r="H12" s="18" t="n">
        <f aca="false">AVERAGE(H5:H11)</f>
        <v>708.214285714286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2026-02-28T15:40:38Z</dcterms:created>
  <dc:creator>openpyxl</dc:creator>
  <dc:description/>
  <dc:language>en-US</dc:language>
  <cp:lastModifiedBy/>
  <dcterms:modified xsi:type="dcterms:W3CDTF">2026-02-28T15:43:10Z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